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Dropbox\Praca\Framework\JECDM\JECDM\Projects\src\y2025\ERS\e2_ers_calibration\results\"/>
    </mc:Choice>
  </mc:AlternateContent>
  <xr:revisionPtr revIDLastSave="0" documentId="13_ncr:1_{A5451DA3-4B55-4EA7-9F13-FB943CFA4AAE}" xr6:coauthVersionLast="47" xr6:coauthVersionMax="47" xr10:uidLastSave="{00000000-0000-0000-0000-000000000000}"/>
  <bookViews>
    <workbookView xWindow="38280" yWindow="-120" windowWidth="29040" windowHeight="17520" activeTab="2" xr2:uid="{00000000-000D-0000-FFFF-FFFF00000000}"/>
  </bookViews>
  <sheets>
    <sheet name="SR" sheetId="8" r:id="rId1"/>
    <sheet name="MCND_MIN" sheetId="9" r:id="rId2"/>
    <sheet name="MCND_STD" sheetId="10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17" i="10" l="1"/>
  <c r="X16" i="10"/>
  <c r="X15" i="10"/>
  <c r="X14" i="10"/>
  <c r="X13" i="10"/>
  <c r="X12" i="10"/>
  <c r="X11" i="10"/>
  <c r="X10" i="10"/>
  <c r="X9" i="10"/>
  <c r="X8" i="10"/>
  <c r="X7" i="10"/>
  <c r="X6" i="10"/>
  <c r="X5" i="10"/>
  <c r="X4" i="10"/>
  <c r="X3" i="10"/>
  <c r="X2" i="10"/>
  <c r="X17" i="9"/>
  <c r="X16" i="9"/>
  <c r="X15" i="9"/>
  <c r="X14" i="9"/>
  <c r="X13" i="9"/>
  <c r="X12" i="9"/>
  <c r="X11" i="9"/>
  <c r="X10" i="9"/>
  <c r="X9" i="9"/>
  <c r="X8" i="9"/>
  <c r="X7" i="9"/>
  <c r="X6" i="9"/>
  <c r="X5" i="9"/>
  <c r="X4" i="9"/>
  <c r="X3" i="9"/>
  <c r="X2" i="9"/>
  <c r="X15" i="8"/>
  <c r="X16" i="8"/>
  <c r="X17" i="8"/>
  <c r="X14" i="8"/>
  <c r="X11" i="8"/>
  <c r="X12" i="8"/>
  <c r="X13" i="8"/>
  <c r="X10" i="8"/>
  <c r="X7" i="8"/>
  <c r="X8" i="8"/>
  <c r="X9" i="8"/>
  <c r="X6" i="8"/>
  <c r="X3" i="8"/>
  <c r="X4" i="8"/>
  <c r="X5" i="8"/>
  <c r="X2" i="8"/>
  <c r="X25" i="10" l="1"/>
  <c r="X23" i="8"/>
  <c r="X26" i="10"/>
  <c r="X26" i="9"/>
  <c r="X26" i="8"/>
  <c r="X25" i="8"/>
  <c r="X24" i="8"/>
  <c r="X24" i="10"/>
  <c r="X23" i="10"/>
  <c r="X25" i="9"/>
  <c r="X23" i="9"/>
  <c r="X24" i="9"/>
</calcChain>
</file>

<file path=xl/sharedStrings.xml><?xml version="1.0" encoding="utf-8"?>
<sst xmlns="http://schemas.openxmlformats.org/spreadsheetml/2006/main" count="438" uniqueCount="18">
  <si>
    <t>$H$</t>
  </si>
  <si>
    <t>$l$</t>
  </si>
  <si>
    <t>$std$</t>
  </si>
  <si>
    <t>$M$</t>
  </si>
  <si>
    <t>Mean</t>
  </si>
  <si>
    <t>StD</t>
  </si>
  <si>
    <t>$\overline{R}$</t>
  </si>
  <si>
    <t>D</t>
  </si>
  <si>
    <t>$\infty$</t>
  </si>
  <si>
    <t>$\alpha$</t>
  </si>
  <si>
    <t>$2$</t>
  </si>
  <si>
    <t>$3$</t>
  </si>
  <si>
    <t>$4$</t>
  </si>
  <si>
    <t>$1$</t>
  </si>
  <si>
    <t>$5$</t>
  </si>
  <si>
    <t>T</t>
  </si>
  <si>
    <t>W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</si>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</sst>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0"/>
      <name val="Arial"/>
      <family val="2"/>
      <charset val="238"/>
    </font>
    <font>
      <b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0" fillId="0" borderId="10" xfId="0" applyBorder="1"/>
    <xf numFmtId="0" fontId="0" fillId="3" borderId="9" xfId="0" applyFill="1" applyBorder="1"/>
    <xf numFmtId="0" fontId="0" fillId="3" borderId="10" xfId="0" applyFill="1" applyBorder="1"/>
    <xf numFmtId="0" fontId="0" fillId="3" borderId="7" xfId="0" applyFill="1" applyBorder="1" applyAlignment="1">
      <alignment horizontal="right"/>
    </xf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2" fontId="0" fillId="3" borderId="3" xfId="0" applyNumberFormat="1" applyFill="1" applyBorder="1"/>
    <xf numFmtId="2" fontId="0" fillId="3" borderId="5" xfId="0" applyNumberFormat="1" applyFill="1" applyBorder="1"/>
    <xf numFmtId="2" fontId="0" fillId="3" borderId="7" xfId="0" applyNumberFormat="1" applyFill="1" applyBorder="1"/>
    <xf numFmtId="2" fontId="0" fillId="0" borderId="0" xfId="0" applyNumberFormat="1"/>
    <xf numFmtId="0" fontId="0" fillId="0" borderId="14" xfId="0" applyBorder="1" applyAlignment="1">
      <alignment horizontal="center" vertical="center"/>
    </xf>
    <xf numFmtId="0" fontId="0" fillId="3" borderId="2" xfId="0" applyFill="1" applyBorder="1" applyAlignment="1">
      <alignment horizontal="right"/>
    </xf>
    <xf numFmtId="0" fontId="0" fillId="3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3" borderId="5" xfId="0" applyFill="1" applyBorder="1" applyAlignment="1">
      <alignment horizontal="right"/>
    </xf>
    <xf numFmtId="0" fontId="0" fillId="3" borderId="6" xfId="0" applyFill="1" applyBorder="1" applyAlignment="1">
      <alignment horizontal="right"/>
    </xf>
    <xf numFmtId="1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2" fontId="0" fillId="3" borderId="8" xfId="0" applyNumberFormat="1" applyFill="1" applyBorder="1"/>
    <xf numFmtId="2" fontId="0" fillId="3" borderId="9" xfId="0" applyNumberFormat="1" applyFill="1" applyBorder="1"/>
    <xf numFmtId="2" fontId="0" fillId="3" borderId="10" xfId="0" applyNumberFormat="1" applyFill="1" applyBorder="1"/>
    <xf numFmtId="0" fontId="0" fillId="3" borderId="14" xfId="0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E9DB2-F00D-4ABA-859A-DEC60CD16F32}">
  <dimension ref="A1:Z38"/>
  <sheetViews>
    <sheetView zoomScale="115" zoomScaleNormal="115" workbookViewId="0">
      <selection activeCell="H3" sqref="H3:I3"/>
    </sheetView>
  </sheetViews>
  <sheetFormatPr defaultRowHeight="15" x14ac:dyDescent="0.25"/>
  <sheetData>
    <row r="1" spans="1:26" x14ac:dyDescent="0.25">
      <c r="A1" s="14" t="s">
        <v>9</v>
      </c>
      <c r="B1" s="15"/>
      <c r="C1" s="15"/>
      <c r="D1" s="15"/>
      <c r="E1" s="15" t="s">
        <v>13</v>
      </c>
      <c r="F1" s="15"/>
      <c r="G1" s="15"/>
      <c r="H1" s="15"/>
      <c r="I1" s="15"/>
      <c r="J1" s="15" t="s">
        <v>14</v>
      </c>
      <c r="K1" s="15"/>
      <c r="L1" s="15"/>
      <c r="M1" s="15"/>
      <c r="N1" s="15"/>
      <c r="O1" s="15" t="s">
        <v>8</v>
      </c>
      <c r="P1" s="15"/>
      <c r="Q1" s="15"/>
      <c r="R1" s="15"/>
      <c r="S1" s="16"/>
      <c r="U1" s="7" t="s">
        <v>3</v>
      </c>
      <c r="V1" s="7" t="s">
        <v>1</v>
      </c>
      <c r="W1" s="7" t="s">
        <v>2</v>
      </c>
      <c r="X1" s="7" t="s">
        <v>6</v>
      </c>
    </row>
    <row r="2" spans="1:26" x14ac:dyDescent="0.25">
      <c r="A2" s="3" t="s">
        <v>3</v>
      </c>
      <c r="B2" s="3" t="s">
        <v>0</v>
      </c>
      <c r="C2" s="3" t="s">
        <v>1</v>
      </c>
      <c r="D2" s="3" t="s">
        <v>2</v>
      </c>
      <c r="E2" s="3" t="s">
        <v>4</v>
      </c>
      <c r="F2" s="3" t="s">
        <v>5</v>
      </c>
      <c r="G2" s="3" t="s">
        <v>6</v>
      </c>
      <c r="H2" s="3" t="s">
        <v>15</v>
      </c>
      <c r="I2" s="3" t="s">
        <v>16</v>
      </c>
      <c r="J2" s="3" t="s">
        <v>4</v>
      </c>
      <c r="K2" s="3" t="s">
        <v>5</v>
      </c>
      <c r="L2" s="3" t="s">
        <v>6</v>
      </c>
      <c r="M2" s="35" t="s">
        <v>15</v>
      </c>
      <c r="N2" s="35" t="s">
        <v>16</v>
      </c>
      <c r="O2" s="3" t="s">
        <v>4</v>
      </c>
      <c r="P2" s="3" t="s">
        <v>5</v>
      </c>
      <c r="Q2" s="3" t="s">
        <v>6</v>
      </c>
      <c r="R2" s="36" t="s">
        <v>15</v>
      </c>
      <c r="S2" s="36" t="s">
        <v>16</v>
      </c>
      <c r="U2" s="4" t="s">
        <v>10</v>
      </c>
      <c r="V2" s="22">
        <v>0</v>
      </c>
      <c r="W2" s="23" t="s">
        <v>7</v>
      </c>
      <c r="X2" s="17">
        <f>AVERAGE(G3,G7,L3,L7,Q3,Q7)</f>
        <v>1.2216666666666667</v>
      </c>
    </row>
    <row r="3" spans="1:26" x14ac:dyDescent="0.25">
      <c r="A3" s="8" t="s">
        <v>10</v>
      </c>
      <c r="B3" s="1" t="s">
        <v>13</v>
      </c>
      <c r="C3" s="22">
        <v>0</v>
      </c>
      <c r="D3" s="23" t="s">
        <v>7</v>
      </c>
      <c r="E3" s="27">
        <v>0.98805568862275484</v>
      </c>
      <c r="F3" s="27">
        <v>4.8942373668118171E-3</v>
      </c>
      <c r="G3" s="28">
        <v>1.07</v>
      </c>
      <c r="H3" s="37" t="s">
        <v>17</v>
      </c>
      <c r="I3" s="37" t="s">
        <v>17</v>
      </c>
      <c r="J3" s="27">
        <v>0.98975958083832349</v>
      </c>
      <c r="K3" s="27">
        <v>4.7663986724356998E-3</v>
      </c>
      <c r="L3" s="28">
        <v>1.18</v>
      </c>
      <c r="M3" s="37" t="s">
        <v>17</v>
      </c>
      <c r="N3" s="37" t="s">
        <v>17</v>
      </c>
      <c r="O3" s="27">
        <v>0.9893055888223552</v>
      </c>
      <c r="P3" s="27">
        <v>4.8175407622027197E-3</v>
      </c>
      <c r="Q3" s="28">
        <v>1.0900000000000001</v>
      </c>
      <c r="R3" s="37" t="s">
        <v>17</v>
      </c>
      <c r="S3" s="37" t="s">
        <v>17</v>
      </c>
      <c r="U3" s="5"/>
      <c r="V3" s="24">
        <v>0.1</v>
      </c>
      <c r="W3" s="25" t="s">
        <v>7</v>
      </c>
      <c r="X3" s="18">
        <f t="shared" ref="X3:X5" si="0">AVERAGE(G4,G8,L4,L8,Q4,Q8)</f>
        <v>2.145</v>
      </c>
    </row>
    <row r="4" spans="1:26" x14ac:dyDescent="0.25">
      <c r="A4" s="9"/>
      <c r="B4" s="2"/>
      <c r="C4" s="24">
        <v>0.1</v>
      </c>
      <c r="D4" s="25" t="s">
        <v>7</v>
      </c>
      <c r="E4" s="27">
        <v>0.974282834331337</v>
      </c>
      <c r="F4" s="27">
        <v>7.299646667787001E-3</v>
      </c>
      <c r="G4" s="28">
        <v>2.125</v>
      </c>
      <c r="H4" s="37">
        <v>5.5240990572691599E-28</v>
      </c>
      <c r="I4" s="37">
        <v>5.6494303069560183E-17</v>
      </c>
      <c r="J4" s="27">
        <v>0.98034500998003993</v>
      </c>
      <c r="K4" s="27">
        <v>7.770151734824161E-3</v>
      </c>
      <c r="L4" s="28">
        <v>2.37</v>
      </c>
      <c r="M4" s="37">
        <v>3.482419566950876E-22</v>
      </c>
      <c r="N4" s="37">
        <v>1.8482354596341818E-15</v>
      </c>
      <c r="O4" s="27">
        <v>0.97944590818363297</v>
      </c>
      <c r="P4" s="27">
        <v>6.7044764887430504E-3</v>
      </c>
      <c r="Q4" s="28">
        <v>2.48</v>
      </c>
      <c r="R4" s="37">
        <v>3.5467138475473876E-26</v>
      </c>
      <c r="S4" s="37">
        <v>6.6319831937206715E-17</v>
      </c>
      <c r="U4" s="5"/>
      <c r="V4" s="24">
        <v>0.2</v>
      </c>
      <c r="W4" s="25" t="s">
        <v>7</v>
      </c>
      <c r="X4" s="18">
        <f t="shared" si="0"/>
        <v>3.0500000000000003</v>
      </c>
    </row>
    <row r="5" spans="1:26" x14ac:dyDescent="0.25">
      <c r="A5" s="9"/>
      <c r="B5" s="2"/>
      <c r="C5" s="24">
        <v>0.2</v>
      </c>
      <c r="D5" s="25" t="s">
        <v>7</v>
      </c>
      <c r="E5" s="27">
        <v>0.96133253493013948</v>
      </c>
      <c r="F5" s="27">
        <v>7.9028809316166286E-3</v>
      </c>
      <c r="G5" s="28">
        <v>3.0649999999999999</v>
      </c>
      <c r="H5" s="37">
        <v>1.0606881644242298E-53</v>
      </c>
      <c r="I5" s="37">
        <v>3.9559116088995575E-18</v>
      </c>
      <c r="J5" s="27">
        <v>0.97532684630738575</v>
      </c>
      <c r="K5" s="27">
        <v>9.0933509252075339E-3</v>
      </c>
      <c r="L5" s="28">
        <v>3.09</v>
      </c>
      <c r="M5" s="37">
        <v>4.4113967905449169E-34</v>
      </c>
      <c r="N5" s="37">
        <v>8.9101794983390416E-18</v>
      </c>
      <c r="O5" s="27">
        <v>0.97507794411177617</v>
      </c>
      <c r="P5" s="27">
        <v>8.4970112776852381E-3</v>
      </c>
      <c r="Q5" s="28">
        <v>3.24</v>
      </c>
      <c r="R5" s="37">
        <v>5.5413190066211196E-35</v>
      </c>
      <c r="S5" s="37">
        <v>5.1904368369916308E-18</v>
      </c>
      <c r="U5" s="6"/>
      <c r="V5" s="26">
        <v>0.3</v>
      </c>
      <c r="W5" s="13" t="s">
        <v>7</v>
      </c>
      <c r="X5" s="19">
        <f t="shared" si="0"/>
        <v>3.5833333333333335</v>
      </c>
    </row>
    <row r="6" spans="1:26" x14ac:dyDescent="0.25">
      <c r="A6" s="11"/>
      <c r="B6" s="10"/>
      <c r="C6" s="26">
        <v>0.3</v>
      </c>
      <c r="D6" s="13" t="s">
        <v>7</v>
      </c>
      <c r="E6" s="27">
        <v>0.95204371257485032</v>
      </c>
      <c r="F6" s="27">
        <v>9.4065155760390453E-3</v>
      </c>
      <c r="G6" s="28">
        <v>3.74</v>
      </c>
      <c r="H6" s="37">
        <v>1.7338460905596318E-59</v>
      </c>
      <c r="I6" s="37">
        <v>3.8380873502653143E-18</v>
      </c>
      <c r="J6" s="27">
        <v>0.9734803393213568</v>
      </c>
      <c r="K6" s="27">
        <v>1.0083202755019499E-2</v>
      </c>
      <c r="L6" s="28">
        <v>3.36</v>
      </c>
      <c r="M6" s="37">
        <v>3.4490391250911266E-32</v>
      </c>
      <c r="N6" s="37">
        <v>7.9045425112571821E-18</v>
      </c>
      <c r="O6" s="27">
        <v>0.97429740518962116</v>
      </c>
      <c r="P6" s="27">
        <v>1.0980913829516808E-2</v>
      </c>
      <c r="Q6" s="28">
        <v>3.19</v>
      </c>
      <c r="R6" s="37">
        <v>2.4080590483830738E-30</v>
      </c>
      <c r="S6" s="37">
        <v>3.9559116088995575E-18</v>
      </c>
      <c r="U6" s="4" t="s">
        <v>11</v>
      </c>
      <c r="V6" s="22">
        <v>0</v>
      </c>
      <c r="W6" s="23" t="s">
        <v>7</v>
      </c>
      <c r="X6" s="17">
        <f>AVERAGE(G11,G15,L11,L15,Q11,Q15)</f>
        <v>1.2533333333333332</v>
      </c>
    </row>
    <row r="7" spans="1:26" x14ac:dyDescent="0.25">
      <c r="A7" s="9"/>
      <c r="B7" s="1" t="s">
        <v>14</v>
      </c>
      <c r="C7" s="22">
        <v>0</v>
      </c>
      <c r="D7" s="23" t="s">
        <v>7</v>
      </c>
      <c r="E7" s="27">
        <v>0.87993882235528953</v>
      </c>
      <c r="F7" s="27">
        <v>0.15191089593356283</v>
      </c>
      <c r="G7" s="28">
        <v>1.3</v>
      </c>
      <c r="H7" s="37" t="s">
        <v>17</v>
      </c>
      <c r="I7" s="37" t="s">
        <v>17</v>
      </c>
      <c r="J7" s="27">
        <v>0.85836077844311376</v>
      </c>
      <c r="K7" s="27">
        <v>0.13785524174075295</v>
      </c>
      <c r="L7" s="28">
        <v>1.37</v>
      </c>
      <c r="M7" s="37" t="s">
        <v>17</v>
      </c>
      <c r="N7" s="37" t="s">
        <v>17</v>
      </c>
      <c r="O7" s="27">
        <v>0.88861167664670648</v>
      </c>
      <c r="P7" s="27">
        <v>0.12088991111487733</v>
      </c>
      <c r="Q7" s="28">
        <v>1.32</v>
      </c>
      <c r="R7" s="37" t="s">
        <v>17</v>
      </c>
      <c r="S7" s="37" t="s">
        <v>17</v>
      </c>
      <c r="U7" s="5"/>
      <c r="V7" s="24">
        <v>0.1</v>
      </c>
      <c r="W7" s="25" t="s">
        <v>7</v>
      </c>
      <c r="X7" s="18">
        <f t="shared" ref="X7:X9" si="1">AVERAGE(G12,G16,L12,L16,Q12,Q16)</f>
        <v>2.0166666666666666</v>
      </c>
    </row>
    <row r="8" spans="1:26" x14ac:dyDescent="0.25">
      <c r="A8" s="9"/>
      <c r="B8" s="2"/>
      <c r="C8" s="24">
        <v>0.1</v>
      </c>
      <c r="D8" s="25" t="s">
        <v>7</v>
      </c>
      <c r="E8" s="27">
        <v>0.87060598802395228</v>
      </c>
      <c r="F8" s="27">
        <v>0.14919249769056137</v>
      </c>
      <c r="G8" s="28">
        <v>1.89</v>
      </c>
      <c r="H8" s="37">
        <v>9.4059251765282953E-10</v>
      </c>
      <c r="I8" s="37">
        <v>5.6689583202470513E-9</v>
      </c>
      <c r="J8" s="27">
        <v>0.84652195608782432</v>
      </c>
      <c r="K8" s="27">
        <v>0.1322962222137071</v>
      </c>
      <c r="L8" s="28">
        <v>1.99</v>
      </c>
      <c r="M8" s="37">
        <v>1.0275590029020595E-10</v>
      </c>
      <c r="N8" s="37">
        <v>2.6810785496936714E-9</v>
      </c>
      <c r="O8" s="27">
        <v>0.87487914171656711</v>
      </c>
      <c r="P8" s="27">
        <v>0.11728578269052793</v>
      </c>
      <c r="Q8" s="28">
        <v>2.0150000000000001</v>
      </c>
      <c r="R8" s="37">
        <v>9.8262540081883273E-17</v>
      </c>
      <c r="S8" s="37">
        <v>1.0983539713729681E-13</v>
      </c>
      <c r="U8" s="5"/>
      <c r="V8" s="24">
        <v>0.2</v>
      </c>
      <c r="W8" s="25" t="s">
        <v>7</v>
      </c>
      <c r="X8" s="18">
        <f t="shared" si="1"/>
        <v>3.0425</v>
      </c>
    </row>
    <row r="9" spans="1:26" x14ac:dyDescent="0.25">
      <c r="A9" s="11"/>
      <c r="B9" s="2"/>
      <c r="C9" s="24">
        <v>0.2</v>
      </c>
      <c r="D9" s="25" t="s">
        <v>7</v>
      </c>
      <c r="E9" s="27">
        <v>0.85474690618762528</v>
      </c>
      <c r="F9" s="27">
        <v>0.14502238402819856</v>
      </c>
      <c r="G9" s="28">
        <v>3.04</v>
      </c>
      <c r="H9" s="37">
        <v>1.9777549583247355E-26</v>
      </c>
      <c r="I9" s="37">
        <v>1.9034507848001995E-17</v>
      </c>
      <c r="J9" s="27">
        <v>0.82937155688622766</v>
      </c>
      <c r="K9" s="27">
        <v>0.12562660955379115</v>
      </c>
      <c r="L9" s="28">
        <v>2.91</v>
      </c>
      <c r="M9" s="37">
        <v>4.5546470537698972E-24</v>
      </c>
      <c r="N9" s="37">
        <v>7.4506391112917827E-17</v>
      </c>
      <c r="O9" s="27">
        <v>0.86268043912175651</v>
      </c>
      <c r="P9" s="27">
        <v>0.11439130552538385</v>
      </c>
      <c r="Q9" s="28">
        <v>2.9550000000000001</v>
      </c>
      <c r="R9" s="37">
        <v>2.1027453162861761E-24</v>
      </c>
      <c r="S9" s="37">
        <v>7.0295674904317895E-17</v>
      </c>
      <c r="U9" s="6"/>
      <c r="V9" s="26">
        <v>0.3</v>
      </c>
      <c r="W9" s="13" t="s">
        <v>7</v>
      </c>
      <c r="X9" s="19">
        <f t="shared" si="1"/>
        <v>3.6875</v>
      </c>
    </row>
    <row r="10" spans="1:26" x14ac:dyDescent="0.25">
      <c r="A10" s="11"/>
      <c r="B10" s="10"/>
      <c r="C10" s="26">
        <v>0.3</v>
      </c>
      <c r="D10" s="13" t="s">
        <v>7</v>
      </c>
      <c r="E10" s="27">
        <v>0.84202415169660683</v>
      </c>
      <c r="F10" s="27">
        <v>0.14191288169809496</v>
      </c>
      <c r="G10" s="28">
        <v>3.77</v>
      </c>
      <c r="H10" s="37">
        <v>1.4463253767848196E-33</v>
      </c>
      <c r="I10" s="37">
        <v>4.2023751079654479E-18</v>
      </c>
      <c r="J10" s="27">
        <v>0.81538413173652668</v>
      </c>
      <c r="K10" s="27">
        <v>0.12183934522472366</v>
      </c>
      <c r="L10" s="28">
        <v>3.73</v>
      </c>
      <c r="M10" s="37">
        <v>1.4133576117355147E-30</v>
      </c>
      <c r="N10" s="37">
        <v>4.8868236332627474E-18</v>
      </c>
      <c r="O10" s="27">
        <v>0.84833902195608812</v>
      </c>
      <c r="P10" s="27">
        <v>0.11064981117120902</v>
      </c>
      <c r="Q10" s="28">
        <v>3.71</v>
      </c>
      <c r="R10" s="37">
        <v>3.4996677251532272E-28</v>
      </c>
      <c r="S10" s="37">
        <v>6.0333467812047413E-18</v>
      </c>
      <c r="U10" s="4" t="s">
        <v>12</v>
      </c>
      <c r="V10" s="22">
        <v>0</v>
      </c>
      <c r="W10" s="23" t="s">
        <v>7</v>
      </c>
      <c r="X10" s="17">
        <f>AVERAGE(G19,G23,L19,L23,Q19,Q23)</f>
        <v>1.2783333333333333</v>
      </c>
    </row>
    <row r="11" spans="1:26" x14ac:dyDescent="0.25">
      <c r="A11" s="8" t="s">
        <v>11</v>
      </c>
      <c r="B11" s="1" t="s">
        <v>13</v>
      </c>
      <c r="C11" s="22">
        <v>0</v>
      </c>
      <c r="D11" s="23" t="s">
        <v>7</v>
      </c>
      <c r="E11" s="27">
        <v>0.9584156686626748</v>
      </c>
      <c r="F11" s="27">
        <v>1.3081067681986769E-2</v>
      </c>
      <c r="G11" s="28">
        <v>1.25</v>
      </c>
      <c r="H11" s="37" t="s">
        <v>17</v>
      </c>
      <c r="I11" s="37" t="s">
        <v>17</v>
      </c>
      <c r="J11" s="27">
        <v>0.97150638722554927</v>
      </c>
      <c r="K11" s="27">
        <v>1.1316350100275648E-2</v>
      </c>
      <c r="L11" s="28">
        <v>1.52</v>
      </c>
      <c r="M11" s="37" t="s">
        <v>17</v>
      </c>
      <c r="N11" s="37" t="s">
        <v>17</v>
      </c>
      <c r="O11" s="27">
        <v>0.96582215568862284</v>
      </c>
      <c r="P11" s="27">
        <v>9.4471239522500219E-3</v>
      </c>
      <c r="Q11" s="28">
        <v>1.35</v>
      </c>
      <c r="R11" s="37" t="s">
        <v>17</v>
      </c>
      <c r="S11" s="37" t="s">
        <v>17</v>
      </c>
      <c r="U11" s="5"/>
      <c r="V11" s="24">
        <v>0.1</v>
      </c>
      <c r="W11" s="25" t="s">
        <v>7</v>
      </c>
      <c r="X11" s="18">
        <f t="shared" ref="X11:X13" si="2">AVERAGE(G20,G24,L20,L24,Q20,Q24)</f>
        <v>2.5208333333333335</v>
      </c>
      <c r="Z11" s="38"/>
    </row>
    <row r="12" spans="1:26" x14ac:dyDescent="0.25">
      <c r="A12" s="9"/>
      <c r="B12" s="2"/>
      <c r="C12" s="24">
        <v>0.1</v>
      </c>
      <c r="D12" s="25" t="s">
        <v>7</v>
      </c>
      <c r="E12" s="27">
        <v>0.94985469061876304</v>
      </c>
      <c r="F12" s="27">
        <v>1.2414371539766936E-2</v>
      </c>
      <c r="G12" s="28">
        <v>2.13</v>
      </c>
      <c r="H12" s="37">
        <v>1.6396088148227774E-14</v>
      </c>
      <c r="I12" s="37">
        <v>8.2768943616734652E-12</v>
      </c>
      <c r="J12" s="27">
        <v>0.96555159680638691</v>
      </c>
      <c r="K12" s="27">
        <v>1.4936841633856428E-2</v>
      </c>
      <c r="L12" s="28">
        <v>2.09</v>
      </c>
      <c r="M12" s="37">
        <v>1.2377171044354616E-9</v>
      </c>
      <c r="N12" s="37">
        <v>1.5490144071327147E-8</v>
      </c>
      <c r="O12" s="27">
        <v>0.95889810379241491</v>
      </c>
      <c r="P12" s="27">
        <v>1.2864984572881785E-2</v>
      </c>
      <c r="Q12" s="28">
        <v>2</v>
      </c>
      <c r="R12" s="37">
        <v>4.3374755840489296E-11</v>
      </c>
      <c r="S12" s="37">
        <v>1.5303220551276043E-9</v>
      </c>
      <c r="U12" s="5"/>
      <c r="V12" s="24">
        <v>0.2</v>
      </c>
      <c r="W12" s="25" t="s">
        <v>7</v>
      </c>
      <c r="X12" s="18">
        <f t="shared" si="2"/>
        <v>2.9849999999999999</v>
      </c>
    </row>
    <row r="13" spans="1:26" x14ac:dyDescent="0.25">
      <c r="A13" s="9"/>
      <c r="B13" s="2"/>
      <c r="C13" s="24">
        <v>0.2</v>
      </c>
      <c r="D13" s="25" t="s">
        <v>7</v>
      </c>
      <c r="E13" s="27">
        <v>0.94343363273453096</v>
      </c>
      <c r="F13" s="27">
        <v>1.3763502605636236E-2</v>
      </c>
      <c r="G13" s="28">
        <v>3</v>
      </c>
      <c r="H13" s="37">
        <v>1.4750511337825413E-26</v>
      </c>
      <c r="I13" s="37">
        <v>7.6704066715158835E-17</v>
      </c>
      <c r="J13" s="27">
        <v>0.95939471057884207</v>
      </c>
      <c r="K13" s="27">
        <v>1.7085350990513712E-2</v>
      </c>
      <c r="L13" s="28">
        <v>2.95</v>
      </c>
      <c r="M13" s="37">
        <v>3.1489455013654897E-21</v>
      </c>
      <c r="N13" s="37">
        <v>9.7307809143495749E-16</v>
      </c>
      <c r="O13" s="27">
        <v>0.95033682634730554</v>
      </c>
      <c r="P13" s="27">
        <v>1.402295788567582E-2</v>
      </c>
      <c r="Q13" s="28">
        <v>3.145</v>
      </c>
      <c r="R13" s="37">
        <v>6.3657007605171917E-29</v>
      </c>
      <c r="S13" s="37">
        <v>2.5961156545687006E-17</v>
      </c>
      <c r="U13" s="6"/>
      <c r="V13" s="26">
        <v>0.3</v>
      </c>
      <c r="W13" s="13" t="s">
        <v>7</v>
      </c>
      <c r="X13" s="19">
        <f t="shared" si="2"/>
        <v>3.2158333333333338</v>
      </c>
    </row>
    <row r="14" spans="1:26" x14ac:dyDescent="0.25">
      <c r="A14" s="11"/>
      <c r="B14" s="10"/>
      <c r="C14" s="26">
        <v>0.3</v>
      </c>
      <c r="D14" s="13" t="s">
        <v>7</v>
      </c>
      <c r="E14" s="27">
        <v>0.93749191616766481</v>
      </c>
      <c r="F14" s="27">
        <v>1.5582960982214303E-2</v>
      </c>
      <c r="G14" s="28">
        <v>3.62</v>
      </c>
      <c r="H14" s="37">
        <v>4.738148251287636E-40</v>
      </c>
      <c r="I14" s="37">
        <v>5.1904368369916308E-18</v>
      </c>
      <c r="J14" s="27">
        <v>0.95492065868263476</v>
      </c>
      <c r="K14" s="27">
        <v>1.9281020079618325E-2</v>
      </c>
      <c r="L14" s="28">
        <v>3.44</v>
      </c>
      <c r="M14" s="37">
        <v>2.0542864069069568E-25</v>
      </c>
      <c r="N14" s="37">
        <v>1.1846318958419196E-16</v>
      </c>
      <c r="O14" s="27">
        <v>0.94730658682634694</v>
      </c>
      <c r="P14" s="27">
        <v>1.3160400350028459E-2</v>
      </c>
      <c r="Q14" s="28">
        <v>3.5049999999999999</v>
      </c>
      <c r="R14" s="37">
        <v>1.1051626454168621E-36</v>
      </c>
      <c r="S14" s="37">
        <v>4.3312308026022109E-18</v>
      </c>
      <c r="U14" s="4" t="s">
        <v>14</v>
      </c>
      <c r="V14" s="22">
        <v>0</v>
      </c>
      <c r="W14" s="23" t="s">
        <v>7</v>
      </c>
      <c r="X14" s="17">
        <f>AVERAGE(G27,G31,L27,L31,Q27,Q31)</f>
        <v>1.4074999999999998</v>
      </c>
    </row>
    <row r="15" spans="1:26" x14ac:dyDescent="0.25">
      <c r="A15" s="9"/>
      <c r="B15" s="1" t="s">
        <v>14</v>
      </c>
      <c r="C15" s="22">
        <v>0</v>
      </c>
      <c r="D15" s="23" t="s">
        <v>7</v>
      </c>
      <c r="E15" s="27">
        <v>0.84844421157684624</v>
      </c>
      <c r="F15" s="27">
        <v>7.4018927835180687E-2</v>
      </c>
      <c r="G15" s="28">
        <v>1.19</v>
      </c>
      <c r="H15" s="37" t="s">
        <v>17</v>
      </c>
      <c r="I15" s="37" t="s">
        <v>17</v>
      </c>
      <c r="J15" s="27">
        <v>0.86697514970059875</v>
      </c>
      <c r="K15" s="27">
        <v>9.550490729636385E-2</v>
      </c>
      <c r="L15" s="28">
        <v>1.1100000000000001</v>
      </c>
      <c r="M15" s="37" t="s">
        <v>17</v>
      </c>
      <c r="N15" s="37" t="s">
        <v>17</v>
      </c>
      <c r="O15" s="27">
        <v>0.87426157684630712</v>
      </c>
      <c r="P15" s="27">
        <v>8.4624560680993152E-2</v>
      </c>
      <c r="Q15" s="28">
        <v>1.1000000000000001</v>
      </c>
      <c r="R15" s="37" t="s">
        <v>17</v>
      </c>
      <c r="S15" s="37" t="s">
        <v>17</v>
      </c>
      <c r="U15" s="5"/>
      <c r="V15" s="24">
        <v>0.1</v>
      </c>
      <c r="W15" s="25" t="s">
        <v>7</v>
      </c>
      <c r="X15" s="18">
        <f t="shared" ref="X15:X17" si="3">AVERAGE(G28,G32,L28,L32,Q28,Q32)</f>
        <v>2.6641666666666666</v>
      </c>
    </row>
    <row r="16" spans="1:26" x14ac:dyDescent="0.25">
      <c r="A16" s="9"/>
      <c r="B16" s="2"/>
      <c r="C16" s="24">
        <v>0.1</v>
      </c>
      <c r="D16" s="25" t="s">
        <v>7</v>
      </c>
      <c r="E16" s="27">
        <v>0.83474261477045897</v>
      </c>
      <c r="F16" s="27">
        <v>7.1734743439745605E-2</v>
      </c>
      <c r="G16" s="28">
        <v>1.89</v>
      </c>
      <c r="H16" s="37">
        <v>3.2733204607132749E-17</v>
      </c>
      <c r="I16" s="37">
        <v>1.8427660879301579E-13</v>
      </c>
      <c r="J16" s="27">
        <v>0.84719860279441161</v>
      </c>
      <c r="K16" s="27">
        <v>9.6019705671672326E-2</v>
      </c>
      <c r="L16" s="28">
        <v>1.97</v>
      </c>
      <c r="M16" s="37">
        <v>1.2201210530235149E-19</v>
      </c>
      <c r="N16" s="37">
        <v>1.0552552560972528E-16</v>
      </c>
      <c r="O16" s="27">
        <v>0.85290059880239499</v>
      </c>
      <c r="P16" s="27">
        <v>8.7384278066673995E-2</v>
      </c>
      <c r="Q16" s="28">
        <v>2.02</v>
      </c>
      <c r="R16" s="37">
        <v>1.0696589081189103E-18</v>
      </c>
      <c r="S16" s="37">
        <v>1.7731107281021136E-16</v>
      </c>
      <c r="U16" s="5"/>
      <c r="V16" s="24">
        <v>0.2</v>
      </c>
      <c r="W16" s="25" t="s">
        <v>7</v>
      </c>
      <c r="X16" s="18">
        <f t="shared" si="3"/>
        <v>3.023333333333333</v>
      </c>
    </row>
    <row r="17" spans="1:24" x14ac:dyDescent="0.25">
      <c r="A17" s="11"/>
      <c r="B17" s="2"/>
      <c r="C17" s="24">
        <v>0.2</v>
      </c>
      <c r="D17" s="25" t="s">
        <v>7</v>
      </c>
      <c r="E17" s="27">
        <v>0.81681287425149729</v>
      </c>
      <c r="F17" s="27">
        <v>7.1899875335692004E-2</v>
      </c>
      <c r="G17" s="28">
        <v>3.09</v>
      </c>
      <c r="H17" s="37">
        <v>1.2372287298327427E-35</v>
      </c>
      <c r="I17" s="37">
        <v>3.9559116088995575E-18</v>
      </c>
      <c r="J17" s="27">
        <v>0.82786876247504981</v>
      </c>
      <c r="K17" s="27">
        <v>9.6763830490669389E-2</v>
      </c>
      <c r="L17" s="28">
        <v>3.09</v>
      </c>
      <c r="M17" s="37">
        <v>7.1351503523344805E-30</v>
      </c>
      <c r="N17" s="37">
        <v>4.2023751079654479E-18</v>
      </c>
      <c r="O17" s="27">
        <v>0.83297355289421193</v>
      </c>
      <c r="P17" s="27">
        <v>9.192892478124233E-2</v>
      </c>
      <c r="Q17" s="28">
        <v>2.98</v>
      </c>
      <c r="R17" s="37">
        <v>7.61339218345584E-28</v>
      </c>
      <c r="S17" s="37">
        <v>4.3312308026022109E-18</v>
      </c>
      <c r="U17" s="6"/>
      <c r="V17" s="26">
        <v>0.3</v>
      </c>
      <c r="W17" s="13" t="s">
        <v>7</v>
      </c>
      <c r="X17" s="19">
        <f t="shared" si="3"/>
        <v>2.9049999999999998</v>
      </c>
    </row>
    <row r="18" spans="1:24" x14ac:dyDescent="0.25">
      <c r="A18" s="11"/>
      <c r="B18" s="10"/>
      <c r="C18" s="26">
        <v>0.3</v>
      </c>
      <c r="D18" s="13" t="s">
        <v>7</v>
      </c>
      <c r="E18" s="27">
        <v>0.80285538922155686</v>
      </c>
      <c r="F18" s="27">
        <v>7.2849854077778234E-2</v>
      </c>
      <c r="G18" s="28">
        <v>3.83</v>
      </c>
      <c r="H18" s="37">
        <v>9.2961953346267806E-43</v>
      </c>
      <c r="I18" s="37">
        <v>3.9559116088995575E-18</v>
      </c>
      <c r="J18" s="27">
        <v>0.81393532934131774</v>
      </c>
      <c r="K18" s="27">
        <v>9.9094035980747341E-2</v>
      </c>
      <c r="L18" s="28">
        <v>3.83</v>
      </c>
      <c r="M18" s="37">
        <v>8.8276657561536858E-34</v>
      </c>
      <c r="N18" s="37">
        <v>3.8380873502653143E-18</v>
      </c>
      <c r="O18" s="27">
        <v>0.81310548902195567</v>
      </c>
      <c r="P18" s="27">
        <v>9.5000465954065805E-2</v>
      </c>
      <c r="Q18" s="28">
        <v>3.9</v>
      </c>
      <c r="R18" s="37">
        <v>5.889512701675398E-35</v>
      </c>
      <c r="S18" s="37">
        <v>3.8380873502653143E-18</v>
      </c>
    </row>
    <row r="19" spans="1:24" x14ac:dyDescent="0.25">
      <c r="A19" s="8" t="s">
        <v>12</v>
      </c>
      <c r="B19" s="1" t="s">
        <v>13</v>
      </c>
      <c r="C19" s="22">
        <v>0</v>
      </c>
      <c r="D19" s="23" t="s">
        <v>7</v>
      </c>
      <c r="E19" s="27">
        <v>0.94938483033932142</v>
      </c>
      <c r="F19" s="27">
        <v>1.9272074039536746E-2</v>
      </c>
      <c r="G19" s="28">
        <v>1.8</v>
      </c>
      <c r="H19" s="37" t="s">
        <v>17</v>
      </c>
      <c r="I19" s="37" t="s">
        <v>17</v>
      </c>
      <c r="J19" s="27">
        <v>0.96578403193612772</v>
      </c>
      <c r="K19" s="27">
        <v>1.3673195537305926E-2</v>
      </c>
      <c r="L19" s="28">
        <v>1.1399999999999999</v>
      </c>
      <c r="M19" s="37" t="s">
        <v>17</v>
      </c>
      <c r="N19" s="37" t="s">
        <v>17</v>
      </c>
      <c r="O19" s="27">
        <v>0.97084161676646719</v>
      </c>
      <c r="P19" s="27">
        <v>1.3916761610537539E-2</v>
      </c>
      <c r="Q19" s="28">
        <v>1.32</v>
      </c>
      <c r="R19" s="37" t="s">
        <v>17</v>
      </c>
      <c r="S19" s="37" t="s">
        <v>17</v>
      </c>
    </row>
    <row r="20" spans="1:24" x14ac:dyDescent="0.25">
      <c r="A20" s="9"/>
      <c r="B20" s="2"/>
      <c r="C20" s="24">
        <v>0.1</v>
      </c>
      <c r="D20" s="25" t="s">
        <v>7</v>
      </c>
      <c r="E20" s="27">
        <v>0.94347135728542852</v>
      </c>
      <c r="F20" s="27">
        <v>1.4988627708447297E-2</v>
      </c>
      <c r="G20" s="28">
        <v>2.97</v>
      </c>
      <c r="H20" s="37">
        <v>3.0571409662011233E-7</v>
      </c>
      <c r="I20" s="37">
        <v>7.3112946301151236E-7</v>
      </c>
      <c r="J20" s="27">
        <v>0.95117564870259452</v>
      </c>
      <c r="K20" s="27">
        <v>1.8805764607836416E-2</v>
      </c>
      <c r="L20" s="28">
        <v>2.625</v>
      </c>
      <c r="M20" s="37">
        <v>5.3874992529703875E-30</v>
      </c>
      <c r="N20" s="37">
        <v>8.6475210814651636E-18</v>
      </c>
      <c r="O20" s="27">
        <v>0.95982724550898224</v>
      </c>
      <c r="P20" s="27">
        <v>2.0518394662106067E-2</v>
      </c>
      <c r="Q20" s="28">
        <v>2.54</v>
      </c>
      <c r="R20" s="37">
        <v>6.6549922936294631E-16</v>
      </c>
      <c r="S20" s="37">
        <v>7.6248433765807829E-14</v>
      </c>
    </row>
    <row r="21" spans="1:24" x14ac:dyDescent="0.25">
      <c r="A21" s="9"/>
      <c r="B21" s="2"/>
      <c r="C21" s="24">
        <v>0.2</v>
      </c>
      <c r="D21" s="25" t="s">
        <v>7</v>
      </c>
      <c r="E21" s="27">
        <v>0.94456307385229565</v>
      </c>
      <c r="F21" s="27">
        <v>1.5419559168836777E-2</v>
      </c>
      <c r="G21" s="28">
        <v>2.78</v>
      </c>
      <c r="H21" s="37">
        <v>3.1737757300114644E-6</v>
      </c>
      <c r="I21" s="37">
        <v>3.60156051854775E-6</v>
      </c>
      <c r="J21" s="27">
        <v>0.94873732534930155</v>
      </c>
      <c r="K21" s="27">
        <v>2.0083906592031867E-2</v>
      </c>
      <c r="L21" s="28">
        <v>2.98</v>
      </c>
      <c r="M21" s="37">
        <v>2.9820233831769001E-29</v>
      </c>
      <c r="N21" s="37">
        <v>7.6711705147369873E-18</v>
      </c>
      <c r="O21" s="27">
        <v>0.95567075848303373</v>
      </c>
      <c r="P21" s="27">
        <v>2.2251117721911667E-2</v>
      </c>
      <c r="Q21" s="28">
        <v>2.98</v>
      </c>
      <c r="R21" s="37">
        <v>1.1737648207625006E-22</v>
      </c>
      <c r="S21" s="37">
        <v>1.4920799201774643E-16</v>
      </c>
    </row>
    <row r="22" spans="1:24" x14ac:dyDescent="0.25">
      <c r="A22" s="11"/>
      <c r="B22" s="10"/>
      <c r="C22" s="26">
        <v>0.3</v>
      </c>
      <c r="D22" s="13" t="s">
        <v>7</v>
      </c>
      <c r="E22" s="27">
        <v>0.94635319361277492</v>
      </c>
      <c r="F22" s="27">
        <v>1.5423844259953931E-2</v>
      </c>
      <c r="G22" s="28">
        <v>2.4500000000000002</v>
      </c>
      <c r="H22" s="37">
        <v>1.1540765626668126E-3</v>
      </c>
      <c r="I22" s="37">
        <v>7.7671360495561712E-4</v>
      </c>
      <c r="J22" s="27">
        <v>0.94645199600798346</v>
      </c>
      <c r="K22" s="27">
        <v>2.1516130383669785E-2</v>
      </c>
      <c r="L22" s="28">
        <v>3.2549999999999999</v>
      </c>
      <c r="M22" s="37">
        <v>7.3330879004796393E-29</v>
      </c>
      <c r="N22" s="37">
        <v>8.7778807189800431E-18</v>
      </c>
      <c r="O22" s="27">
        <v>0.95498962075848337</v>
      </c>
      <c r="P22" s="27">
        <v>2.4040838066848518E-2</v>
      </c>
      <c r="Q22" s="28">
        <v>3.16</v>
      </c>
      <c r="R22" s="37">
        <v>4.7269366682593195E-21</v>
      </c>
      <c r="S22" s="37">
        <v>2.9260416298520438E-16</v>
      </c>
      <c r="V22" s="21" t="s">
        <v>1</v>
      </c>
      <c r="W22" s="21" t="s">
        <v>2</v>
      </c>
      <c r="X22" s="21" t="s">
        <v>6</v>
      </c>
    </row>
    <row r="23" spans="1:24" x14ac:dyDescent="0.25">
      <c r="A23" s="9"/>
      <c r="B23" s="1" t="s">
        <v>14</v>
      </c>
      <c r="C23" s="22">
        <v>0</v>
      </c>
      <c r="D23" s="23" t="s">
        <v>7</v>
      </c>
      <c r="E23" s="27">
        <v>0.78378832335329351</v>
      </c>
      <c r="F23" s="27">
        <v>8.0712144829121854E-2</v>
      </c>
      <c r="G23" s="28">
        <v>1.26</v>
      </c>
      <c r="H23" s="37" t="s">
        <v>17</v>
      </c>
      <c r="I23" s="37" t="s">
        <v>17</v>
      </c>
      <c r="J23" s="27">
        <v>0.85390848303393208</v>
      </c>
      <c r="K23" s="27">
        <v>0.10415634162074162</v>
      </c>
      <c r="L23" s="28">
        <v>1.06</v>
      </c>
      <c r="M23" s="37" t="s">
        <v>17</v>
      </c>
      <c r="N23" s="37" t="s">
        <v>17</v>
      </c>
      <c r="O23" s="27">
        <v>0.85496127744510975</v>
      </c>
      <c r="P23" s="27">
        <v>0.10099309249998652</v>
      </c>
      <c r="Q23" s="28">
        <v>1.0900000000000001</v>
      </c>
      <c r="R23" s="37" t="s">
        <v>17</v>
      </c>
      <c r="S23" s="37" t="s">
        <v>17</v>
      </c>
      <c r="V23" s="22">
        <v>0</v>
      </c>
      <c r="W23" s="23" t="s">
        <v>7</v>
      </c>
      <c r="X23" s="29">
        <f>AVERAGE(X2,X6,X10,X14)</f>
        <v>1.2902083333333332</v>
      </c>
    </row>
    <row r="24" spans="1:24" x14ac:dyDescent="0.25">
      <c r="A24" s="9"/>
      <c r="B24" s="2"/>
      <c r="C24" s="24">
        <v>0.1</v>
      </c>
      <c r="D24" s="25" t="s">
        <v>7</v>
      </c>
      <c r="E24" s="27">
        <v>0.75740908183632771</v>
      </c>
      <c r="F24" s="27">
        <v>8.081598663175224E-2</v>
      </c>
      <c r="G24" s="28">
        <v>2.41</v>
      </c>
      <c r="H24" s="37">
        <v>2.2324067711091832E-22</v>
      </c>
      <c r="I24" s="37">
        <v>4.6770678927577978E-16</v>
      </c>
      <c r="J24" s="27">
        <v>0.8127496007984033</v>
      </c>
      <c r="K24" s="27">
        <v>0.1079632977630271</v>
      </c>
      <c r="L24" s="28">
        <v>2.2599999999999998</v>
      </c>
      <c r="M24" s="37">
        <v>1.5048411560087146E-28</v>
      </c>
      <c r="N24" s="37">
        <v>8.3925074601264748E-18</v>
      </c>
      <c r="O24" s="27">
        <v>0.81362225548902201</v>
      </c>
      <c r="P24" s="27">
        <v>0.11019155258193347</v>
      </c>
      <c r="Q24" s="28">
        <v>2.3199999999999998</v>
      </c>
      <c r="R24" s="37">
        <v>2.545372937297101E-24</v>
      </c>
      <c r="S24" s="37">
        <v>7.6711705147369873E-18</v>
      </c>
      <c r="V24" s="24">
        <v>0.1</v>
      </c>
      <c r="W24" s="25" t="s">
        <v>7</v>
      </c>
      <c r="X24" s="30">
        <f t="shared" ref="X24:X26" si="4">AVERAGE(X3,X7,X11,X15)</f>
        <v>2.3366666666666669</v>
      </c>
    </row>
    <row r="25" spans="1:24" x14ac:dyDescent="0.25">
      <c r="A25" s="11"/>
      <c r="B25" s="2"/>
      <c r="C25" s="24">
        <v>0.2</v>
      </c>
      <c r="D25" s="25" t="s">
        <v>7</v>
      </c>
      <c r="E25" s="27">
        <v>0.74917704590818335</v>
      </c>
      <c r="F25" s="27">
        <v>8.3581061538711671E-2</v>
      </c>
      <c r="G25" s="28">
        <v>3.06</v>
      </c>
      <c r="H25" s="37">
        <v>2.7769096671884187E-28</v>
      </c>
      <c r="I25" s="37">
        <v>2.3069822487853689E-17</v>
      </c>
      <c r="J25" s="27">
        <v>0.79635948103792398</v>
      </c>
      <c r="K25" s="27">
        <v>0.1163365091849704</v>
      </c>
      <c r="L25" s="28">
        <v>3.02</v>
      </c>
      <c r="M25" s="37">
        <v>6.9634564044460623E-26</v>
      </c>
      <c r="N25" s="37">
        <v>4.7416602980630252E-18</v>
      </c>
      <c r="O25" s="27">
        <v>0.79817854291417145</v>
      </c>
      <c r="P25" s="27">
        <v>0.11689977066672806</v>
      </c>
      <c r="Q25" s="28">
        <v>3.09</v>
      </c>
      <c r="R25" s="37">
        <v>2.085666910786236E-23</v>
      </c>
      <c r="S25" s="37">
        <v>7.2246401467528864E-18</v>
      </c>
      <c r="V25" s="24">
        <v>0.2</v>
      </c>
      <c r="W25" s="25" t="s">
        <v>7</v>
      </c>
      <c r="X25" s="30">
        <f t="shared" si="4"/>
        <v>3.0252083333333335</v>
      </c>
    </row>
    <row r="26" spans="1:24" x14ac:dyDescent="0.25">
      <c r="A26" s="11"/>
      <c r="B26" s="10"/>
      <c r="C26" s="26">
        <v>0.3</v>
      </c>
      <c r="D26" s="13" t="s">
        <v>7</v>
      </c>
      <c r="E26" s="27">
        <v>0.74652814371257492</v>
      </c>
      <c r="F26" s="27">
        <v>8.5656791398066964E-2</v>
      </c>
      <c r="G26" s="28">
        <v>3.27</v>
      </c>
      <c r="H26" s="37">
        <v>9.0208201148092766E-28</v>
      </c>
      <c r="I26" s="37">
        <v>3.0082209800333804E-17</v>
      </c>
      <c r="J26" s="27">
        <v>0.78615698602794437</v>
      </c>
      <c r="K26" s="27">
        <v>0.12057118831432277</v>
      </c>
      <c r="L26" s="28">
        <v>3.66</v>
      </c>
      <c r="M26" s="37">
        <v>1.6106923911476144E-25</v>
      </c>
      <c r="N26" s="37">
        <v>4.7416602980630252E-18</v>
      </c>
      <c r="O26" s="27">
        <v>0.78878303393213556</v>
      </c>
      <c r="P26" s="27">
        <v>0.12360600265404002</v>
      </c>
      <c r="Q26" s="28">
        <v>3.5</v>
      </c>
      <c r="R26" s="37">
        <v>5.4510033818848594E-22</v>
      </c>
      <c r="S26" s="37">
        <v>5.5126557516760193E-18</v>
      </c>
      <c r="V26" s="26">
        <v>0.3</v>
      </c>
      <c r="W26" s="13" t="s">
        <v>7</v>
      </c>
      <c r="X26" s="31">
        <f t="shared" si="4"/>
        <v>3.3479166666666669</v>
      </c>
    </row>
    <row r="27" spans="1:24" x14ac:dyDescent="0.25">
      <c r="A27" s="8" t="s">
        <v>14</v>
      </c>
      <c r="B27" s="1" t="s">
        <v>13</v>
      </c>
      <c r="C27" s="22">
        <v>0</v>
      </c>
      <c r="D27" s="23" t="s">
        <v>7</v>
      </c>
      <c r="E27" s="27">
        <v>0.95763612774451079</v>
      </c>
      <c r="F27" s="27">
        <v>1.6744425925701512E-2</v>
      </c>
      <c r="G27" s="28">
        <v>2.7349999999999999</v>
      </c>
      <c r="H27" s="37">
        <v>9.0720260946976728E-12</v>
      </c>
      <c r="I27" s="37">
        <v>7.3650851291449184E-10</v>
      </c>
      <c r="J27" s="27">
        <v>0.96852754491017989</v>
      </c>
      <c r="K27" s="27">
        <v>1.325250412935272E-2</v>
      </c>
      <c r="L27" s="28">
        <v>1.06</v>
      </c>
      <c r="M27" s="37" t="s">
        <v>17</v>
      </c>
      <c r="N27" s="37" t="s">
        <v>17</v>
      </c>
      <c r="O27" s="27">
        <v>0.96886027944111774</v>
      </c>
      <c r="P27" s="27">
        <v>8.4018335459760032E-3</v>
      </c>
      <c r="Q27" s="28">
        <v>1</v>
      </c>
      <c r="R27" s="37" t="s">
        <v>17</v>
      </c>
      <c r="S27" s="37" t="s">
        <v>17</v>
      </c>
    </row>
    <row r="28" spans="1:24" x14ac:dyDescent="0.25">
      <c r="A28" s="9"/>
      <c r="B28" s="2"/>
      <c r="C28" s="24">
        <v>0.1</v>
      </c>
      <c r="D28" s="25" t="s">
        <v>7</v>
      </c>
      <c r="E28" s="27">
        <v>0.95652305389221515</v>
      </c>
      <c r="F28" s="27">
        <v>1.5793827901636491E-2</v>
      </c>
      <c r="G28" s="28">
        <v>3.2250000000000001</v>
      </c>
      <c r="H28" s="37">
        <v>6.5703382282731739E-21</v>
      </c>
      <c r="I28" s="37">
        <v>2.2303718392736308E-16</v>
      </c>
      <c r="J28" s="27">
        <v>0.95026357285429175</v>
      </c>
      <c r="K28" s="27">
        <v>1.8566171756142759E-2</v>
      </c>
      <c r="L28" s="28">
        <v>2.46</v>
      </c>
      <c r="M28" s="37">
        <v>1.1562327025860412E-37</v>
      </c>
      <c r="N28" s="37">
        <v>4.2023751079654479E-18</v>
      </c>
      <c r="O28" s="27">
        <v>0.94844710578842295</v>
      </c>
      <c r="P28" s="27">
        <v>1.2705193160513139E-2</v>
      </c>
      <c r="Q28" s="28">
        <v>2.42</v>
      </c>
      <c r="R28" s="37">
        <v>4.410817823807905E-44</v>
      </c>
      <c r="S28" s="37">
        <v>3.8380873502653143E-18</v>
      </c>
    </row>
    <row r="29" spans="1:24" x14ac:dyDescent="0.25">
      <c r="A29" s="9"/>
      <c r="B29" s="2"/>
      <c r="C29" s="24">
        <v>0.2</v>
      </c>
      <c r="D29" s="25" t="s">
        <v>7</v>
      </c>
      <c r="E29" s="27">
        <v>0.95989121756487039</v>
      </c>
      <c r="F29" s="27">
        <v>1.5241011952874273E-2</v>
      </c>
      <c r="G29" s="28">
        <v>2.48</v>
      </c>
      <c r="H29" s="37">
        <v>7.4446774096801191E-10</v>
      </c>
      <c r="I29" s="37">
        <v>3.2715597182889407E-9</v>
      </c>
      <c r="J29" s="27">
        <v>0.94511586826347271</v>
      </c>
      <c r="K29" s="27">
        <v>2.0244945988938945E-2</v>
      </c>
      <c r="L29" s="28">
        <v>3.16</v>
      </c>
      <c r="M29" s="37">
        <v>6.568365626819508E-41</v>
      </c>
      <c r="N29" s="37">
        <v>4.2023751079654479E-18</v>
      </c>
      <c r="O29" s="27">
        <v>0.942222155688623</v>
      </c>
      <c r="P29" s="27">
        <v>1.497016560914833E-2</v>
      </c>
      <c r="Q29" s="28">
        <v>3.11</v>
      </c>
      <c r="R29" s="37">
        <v>1.0411113129038673E-45</v>
      </c>
      <c r="S29" s="37">
        <v>3.8380873502653143E-18</v>
      </c>
    </row>
    <row r="30" spans="1:24" x14ac:dyDescent="0.25">
      <c r="A30" s="11"/>
      <c r="B30" s="10"/>
      <c r="C30" s="26">
        <v>0.3</v>
      </c>
      <c r="D30" s="13" t="s">
        <v>7</v>
      </c>
      <c r="E30" s="27">
        <v>0.96382894211576831</v>
      </c>
      <c r="F30" s="27">
        <v>1.3246402961790636E-2</v>
      </c>
      <c r="G30" s="28">
        <v>1.56</v>
      </c>
      <c r="H30" s="37" t="s">
        <v>17</v>
      </c>
      <c r="I30" s="37" t="s">
        <v>17</v>
      </c>
      <c r="J30" s="27">
        <v>0.94393323353293401</v>
      </c>
      <c r="K30" s="27">
        <v>2.1283461745199378E-2</v>
      </c>
      <c r="L30" s="28">
        <v>3.32</v>
      </c>
      <c r="M30" s="37">
        <v>2.1244252435412664E-36</v>
      </c>
      <c r="N30" s="37">
        <v>4.4639854239081199E-18</v>
      </c>
      <c r="O30" s="27">
        <v>0.93985239520958108</v>
      </c>
      <c r="P30" s="27">
        <v>1.4310073515555275E-2</v>
      </c>
      <c r="Q30" s="28">
        <v>3.47</v>
      </c>
      <c r="R30" s="37">
        <v>1.9160229634618247E-51</v>
      </c>
      <c r="S30" s="37">
        <v>3.8380873502653143E-18</v>
      </c>
    </row>
    <row r="31" spans="1:24" x14ac:dyDescent="0.25">
      <c r="A31" s="9"/>
      <c r="B31" s="1" t="s">
        <v>14</v>
      </c>
      <c r="C31" s="22">
        <v>0</v>
      </c>
      <c r="D31" s="23" t="s">
        <v>7</v>
      </c>
      <c r="E31" s="27">
        <v>0.80812904191616763</v>
      </c>
      <c r="F31" s="27">
        <v>6.5488957932299474E-2</v>
      </c>
      <c r="G31" s="28">
        <v>1.36</v>
      </c>
      <c r="H31" s="37" t="s">
        <v>17</v>
      </c>
      <c r="I31" s="37" t="s">
        <v>17</v>
      </c>
      <c r="J31" s="27">
        <v>0.88013942115768462</v>
      </c>
      <c r="K31" s="27">
        <v>7.8167501976260781E-2</v>
      </c>
      <c r="L31" s="28">
        <v>1.0900000000000001</v>
      </c>
      <c r="M31" s="37" t="s">
        <v>17</v>
      </c>
      <c r="N31" s="37" t="s">
        <v>17</v>
      </c>
      <c r="O31" s="27">
        <v>0.88826716566866293</v>
      </c>
      <c r="P31" s="27">
        <v>9.6973522732960504E-2</v>
      </c>
      <c r="Q31" s="28">
        <v>1.2</v>
      </c>
      <c r="R31" s="37" t="s">
        <v>17</v>
      </c>
      <c r="S31" s="37" t="s">
        <v>17</v>
      </c>
    </row>
    <row r="32" spans="1:24" x14ac:dyDescent="0.25">
      <c r="A32" s="9"/>
      <c r="B32" s="2"/>
      <c r="C32" s="24">
        <v>0.1</v>
      </c>
      <c r="D32" s="25" t="s">
        <v>7</v>
      </c>
      <c r="E32" s="27">
        <v>0.7802441117764467</v>
      </c>
      <c r="F32" s="27">
        <v>6.7366529875236017E-2</v>
      </c>
      <c r="G32" s="28">
        <v>3.04</v>
      </c>
      <c r="H32" s="37">
        <v>1.5210102980477949E-15</v>
      </c>
      <c r="I32" s="37">
        <v>8.9183722715823521E-14</v>
      </c>
      <c r="J32" s="27">
        <v>0.82268902195608806</v>
      </c>
      <c r="K32" s="27">
        <v>8.8172559469971656E-2</v>
      </c>
      <c r="L32" s="28">
        <v>2.38</v>
      </c>
      <c r="M32" s="37">
        <v>2.9723732694304591E-28</v>
      </c>
      <c r="N32" s="37">
        <v>5.8546043827978273E-18</v>
      </c>
      <c r="O32" s="27">
        <v>0.83785079840319332</v>
      </c>
      <c r="P32" s="27">
        <v>7.3667352418397766E-2</v>
      </c>
      <c r="Q32" s="28">
        <v>2.46</v>
      </c>
      <c r="R32" s="37">
        <v>1.1375319405407865E-9</v>
      </c>
      <c r="S32" s="37">
        <v>3.6227568708126891E-16</v>
      </c>
    </row>
    <row r="33" spans="1:19" x14ac:dyDescent="0.25">
      <c r="A33" s="11"/>
      <c r="B33" s="2"/>
      <c r="C33" s="24">
        <v>0.2</v>
      </c>
      <c r="D33" s="25" t="s">
        <v>7</v>
      </c>
      <c r="E33" s="27">
        <v>0.77914441117764466</v>
      </c>
      <c r="F33" s="27">
        <v>6.7085241348854324E-2</v>
      </c>
      <c r="G33" s="28">
        <v>3.15</v>
      </c>
      <c r="H33" s="37">
        <v>3.6933875109119479E-16</v>
      </c>
      <c r="I33" s="37">
        <v>4.1655278750925027E-14</v>
      </c>
      <c r="J33" s="27">
        <v>0.80133662674650719</v>
      </c>
      <c r="K33" s="27">
        <v>0.10542316004871002</v>
      </c>
      <c r="L33" s="28">
        <v>3.18</v>
      </c>
      <c r="M33" s="37">
        <v>1.3469526545272704E-25</v>
      </c>
      <c r="N33" s="37">
        <v>6.4071449084651596E-18</v>
      </c>
      <c r="O33" s="27">
        <v>0.81862475049900174</v>
      </c>
      <c r="P33" s="27">
        <v>8.7885757811743681E-2</v>
      </c>
      <c r="Q33" s="28">
        <v>3.06</v>
      </c>
      <c r="R33" s="37">
        <v>3.0476773289542011E-12</v>
      </c>
      <c r="S33" s="37">
        <v>2.6478637854087733E-16</v>
      </c>
    </row>
    <row r="34" spans="1:19" x14ac:dyDescent="0.25">
      <c r="A34" s="12"/>
      <c r="B34" s="10"/>
      <c r="C34" s="26">
        <v>0.3</v>
      </c>
      <c r="D34" s="13" t="s">
        <v>7</v>
      </c>
      <c r="E34" s="27">
        <v>0.78556397205588824</v>
      </c>
      <c r="F34" s="27">
        <v>6.8702048408284158E-2</v>
      </c>
      <c r="G34" s="28">
        <v>2.4500000000000002</v>
      </c>
      <c r="H34" s="37">
        <v>7.5565307324323187E-11</v>
      </c>
      <c r="I34" s="37">
        <v>1.0513790716700581E-11</v>
      </c>
      <c r="J34" s="27">
        <v>0.79452115768463105</v>
      </c>
      <c r="K34" s="27">
        <v>0.1164441185426171</v>
      </c>
      <c r="L34" s="28">
        <v>3.35</v>
      </c>
      <c r="M34" s="37">
        <v>2.7463168834430933E-22</v>
      </c>
      <c r="N34" s="37">
        <v>1.7158922616485393E-17</v>
      </c>
      <c r="O34" s="27">
        <v>0.80858962075848306</v>
      </c>
      <c r="P34" s="27">
        <v>0.10263988800115245</v>
      </c>
      <c r="Q34" s="28">
        <v>3.28</v>
      </c>
      <c r="R34" s="37">
        <v>3.5643786305863436E-13</v>
      </c>
      <c r="S34" s="37">
        <v>8.4571907911706342E-16</v>
      </c>
    </row>
    <row r="35" spans="1:19" x14ac:dyDescent="0.25"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</row>
    <row r="36" spans="1:19" x14ac:dyDescent="0.25"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</row>
    <row r="37" spans="1:19" x14ac:dyDescent="0.25"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</row>
    <row r="38" spans="1:19" x14ac:dyDescent="0.25"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C2F07-BA24-4339-A146-9ADC8527732A}">
  <dimension ref="A1:X34"/>
  <sheetViews>
    <sheetView zoomScale="115" zoomScaleNormal="115" workbookViewId="0">
      <selection activeCell="H6" sqref="H6:I6"/>
    </sheetView>
  </sheetViews>
  <sheetFormatPr defaultRowHeight="15" x14ac:dyDescent="0.25"/>
  <sheetData>
    <row r="1" spans="1:24" x14ac:dyDescent="0.25">
      <c r="A1" s="14" t="s">
        <v>9</v>
      </c>
      <c r="B1" s="15"/>
      <c r="C1" s="15"/>
      <c r="D1" s="15"/>
      <c r="E1" s="15" t="s">
        <v>13</v>
      </c>
      <c r="F1" s="15"/>
      <c r="G1" s="15"/>
      <c r="H1" s="15"/>
      <c r="I1" s="15"/>
      <c r="J1" s="15" t="s">
        <v>14</v>
      </c>
      <c r="K1" s="15"/>
      <c r="L1" s="15"/>
      <c r="M1" s="15"/>
      <c r="N1" s="15"/>
      <c r="O1" s="15" t="s">
        <v>8</v>
      </c>
      <c r="P1" s="15"/>
      <c r="Q1" s="15"/>
      <c r="R1" s="15"/>
      <c r="S1" s="16"/>
      <c r="U1" s="7" t="s">
        <v>3</v>
      </c>
      <c r="V1" s="7" t="s">
        <v>1</v>
      </c>
      <c r="W1" s="7" t="s">
        <v>2</v>
      </c>
      <c r="X1" s="7" t="s">
        <v>6</v>
      </c>
    </row>
    <row r="2" spans="1:24" x14ac:dyDescent="0.25">
      <c r="A2" s="3" t="s">
        <v>3</v>
      </c>
      <c r="B2" s="3" t="s">
        <v>0</v>
      </c>
      <c r="C2" s="3" t="s">
        <v>1</v>
      </c>
      <c r="D2" s="3" t="s">
        <v>2</v>
      </c>
      <c r="E2" s="3" t="s">
        <v>4</v>
      </c>
      <c r="F2" s="3" t="s">
        <v>5</v>
      </c>
      <c r="G2" s="3" t="s">
        <v>6</v>
      </c>
      <c r="H2" s="3" t="s">
        <v>15</v>
      </c>
      <c r="I2" s="3" t="s">
        <v>16</v>
      </c>
      <c r="J2" s="3" t="s">
        <v>4</v>
      </c>
      <c r="K2" s="3" t="s">
        <v>5</v>
      </c>
      <c r="L2" s="3" t="s">
        <v>6</v>
      </c>
      <c r="M2" s="35" t="s">
        <v>15</v>
      </c>
      <c r="N2" s="35" t="s">
        <v>16</v>
      </c>
      <c r="O2" s="3" t="s">
        <v>4</v>
      </c>
      <c r="P2" s="3" t="s">
        <v>5</v>
      </c>
      <c r="Q2" s="3" t="s">
        <v>6</v>
      </c>
      <c r="R2" s="36" t="s">
        <v>15</v>
      </c>
      <c r="S2" s="36" t="s">
        <v>16</v>
      </c>
      <c r="U2" s="4" t="s">
        <v>10</v>
      </c>
      <c r="V2" s="22">
        <v>0</v>
      </c>
      <c r="W2" s="23" t="s">
        <v>7</v>
      </c>
      <c r="X2" s="17">
        <f>AVERAGE(G3,G7,L3,L7,Q3,Q7)</f>
        <v>2.7191666666666667</v>
      </c>
    </row>
    <row r="3" spans="1:24" x14ac:dyDescent="0.25">
      <c r="A3" s="8" t="s">
        <v>10</v>
      </c>
      <c r="B3" s="1" t="s">
        <v>13</v>
      </c>
      <c r="C3" s="22">
        <v>0</v>
      </c>
      <c r="D3" s="23" t="s">
        <v>7</v>
      </c>
      <c r="E3" s="33">
        <v>4.8478922965700536E-3</v>
      </c>
      <c r="F3" s="33">
        <v>5.2682955758130137E-4</v>
      </c>
      <c r="G3" s="28">
        <v>2.94</v>
      </c>
      <c r="H3" s="37">
        <v>1.3248321993089021E-5</v>
      </c>
      <c r="I3" s="37">
        <v>4.2522970580225366E-5</v>
      </c>
      <c r="J3" s="33">
        <v>5.5199915172516826E-3</v>
      </c>
      <c r="K3" s="33">
        <v>7.6035439318767229E-4</v>
      </c>
      <c r="L3" s="28">
        <v>3.0150000000000001</v>
      </c>
      <c r="M3" s="37">
        <v>7.6260565557361256E-6</v>
      </c>
      <c r="N3" s="37">
        <v>1.2128317312352573E-5</v>
      </c>
      <c r="O3" s="33">
        <v>5.5756559276189856E-3</v>
      </c>
      <c r="P3" s="33">
        <v>7.4497859428575058E-4</v>
      </c>
      <c r="Q3" s="28">
        <v>2.93</v>
      </c>
      <c r="R3" s="37">
        <v>2.4855351061386797E-5</v>
      </c>
      <c r="S3" s="37">
        <v>2.9242851241306934E-5</v>
      </c>
      <c r="U3" s="5"/>
      <c r="V3" s="24">
        <v>0.1</v>
      </c>
      <c r="W3" s="25" t="s">
        <v>7</v>
      </c>
      <c r="X3" s="18">
        <f t="shared" ref="X3:X5" si="0">AVERAGE(G4,G8,L4,L8,Q4,Q8)</f>
        <v>2.5083333333333333</v>
      </c>
    </row>
    <row r="4" spans="1:24" x14ac:dyDescent="0.25">
      <c r="A4" s="9"/>
      <c r="B4" s="2"/>
      <c r="C4" s="24">
        <v>0.1</v>
      </c>
      <c r="D4" s="25" t="s">
        <v>7</v>
      </c>
      <c r="E4" s="33">
        <v>4.9084907796434389E-3</v>
      </c>
      <c r="F4" s="33">
        <v>5.1337787029425818E-4</v>
      </c>
      <c r="G4" s="28">
        <v>2.5150000000000001</v>
      </c>
      <c r="H4" s="37">
        <v>3.2198511278277185E-2</v>
      </c>
      <c r="I4" s="37">
        <v>3.069633095074991E-2</v>
      </c>
      <c r="J4" s="33">
        <v>5.5905673621402929E-3</v>
      </c>
      <c r="K4" s="33">
        <v>7.7124897973188306E-4</v>
      </c>
      <c r="L4" s="28">
        <v>2.5550000000000002</v>
      </c>
      <c r="M4" s="37">
        <v>5.2095926652494405E-3</v>
      </c>
      <c r="N4" s="37">
        <v>1.2859815890490504E-2</v>
      </c>
      <c r="O4" s="33">
        <v>5.6545836493093618E-3</v>
      </c>
      <c r="P4" s="33">
        <v>7.5241779211667826E-4</v>
      </c>
      <c r="Q4" s="28">
        <v>2.52</v>
      </c>
      <c r="R4" s="37">
        <v>0.1820095090398666</v>
      </c>
      <c r="S4" s="37">
        <v>0.10206509316742995</v>
      </c>
      <c r="U4" s="5"/>
      <c r="V4" s="24">
        <v>0.2</v>
      </c>
      <c r="W4" s="25" t="s">
        <v>7</v>
      </c>
      <c r="X4" s="18">
        <f t="shared" si="0"/>
        <v>2.3975</v>
      </c>
    </row>
    <row r="5" spans="1:24" x14ac:dyDescent="0.25">
      <c r="A5" s="9"/>
      <c r="B5" s="2"/>
      <c r="C5" s="24">
        <v>0.2</v>
      </c>
      <c r="D5" s="25" t="s">
        <v>7</v>
      </c>
      <c r="E5" s="33">
        <v>4.934691885312638E-3</v>
      </c>
      <c r="F5" s="33">
        <v>5.0328862402194269E-4</v>
      </c>
      <c r="G5" s="28">
        <v>2.37</v>
      </c>
      <c r="H5" s="37">
        <v>0.33482662204104552</v>
      </c>
      <c r="I5" s="37">
        <v>0.3382778828829533</v>
      </c>
      <c r="J5" s="33">
        <v>5.6646623121646674E-3</v>
      </c>
      <c r="K5" s="33">
        <v>7.8149413114898618E-4</v>
      </c>
      <c r="L5" s="28">
        <v>2.2349999999999999</v>
      </c>
      <c r="M5" s="37">
        <v>0.68915613796313269</v>
      </c>
      <c r="N5" s="37">
        <v>0.90829937373372938</v>
      </c>
      <c r="O5" s="33">
        <v>5.6868969494174191E-3</v>
      </c>
      <c r="P5" s="33">
        <v>7.5947683143817799E-4</v>
      </c>
      <c r="Q5" s="28">
        <v>2.1900000000000004</v>
      </c>
      <c r="R5" s="37" t="s">
        <v>17</v>
      </c>
      <c r="S5" s="37" t="s">
        <v>17</v>
      </c>
      <c r="U5" s="6"/>
      <c r="V5" s="26">
        <v>0.3</v>
      </c>
      <c r="W5" s="13" t="s">
        <v>7</v>
      </c>
      <c r="X5" s="19">
        <f t="shared" si="0"/>
        <v>2.375</v>
      </c>
    </row>
    <row r="6" spans="1:24" x14ac:dyDescent="0.25">
      <c r="A6" s="11"/>
      <c r="B6" s="10"/>
      <c r="C6" s="26">
        <v>0.3</v>
      </c>
      <c r="D6" s="13" t="s">
        <v>7</v>
      </c>
      <c r="E6" s="33">
        <v>4.954124635260574E-3</v>
      </c>
      <c r="F6" s="33">
        <v>5.1131723411424346E-4</v>
      </c>
      <c r="G6" s="28">
        <v>2.1749999999999998</v>
      </c>
      <c r="H6" s="37" t="s">
        <v>17</v>
      </c>
      <c r="I6" s="37" t="s">
        <v>17</v>
      </c>
      <c r="J6" s="33">
        <v>5.6545615953711029E-3</v>
      </c>
      <c r="K6" s="33">
        <v>7.7747351071643495E-4</v>
      </c>
      <c r="L6" s="28">
        <v>2.1949999999999998</v>
      </c>
      <c r="M6" s="37" t="s">
        <v>17</v>
      </c>
      <c r="N6" s="37" t="s">
        <v>17</v>
      </c>
      <c r="O6" s="33">
        <v>5.6775606665051617E-3</v>
      </c>
      <c r="P6" s="33">
        <v>7.4832534106330432E-4</v>
      </c>
      <c r="Q6" s="28">
        <v>2.36</v>
      </c>
      <c r="R6" s="37">
        <v>0.71641734378669242</v>
      </c>
      <c r="S6" s="37">
        <v>0.6988957296826559</v>
      </c>
      <c r="U6" s="4" t="s">
        <v>11</v>
      </c>
      <c r="V6" s="22">
        <v>0</v>
      </c>
      <c r="W6" s="23" t="s">
        <v>7</v>
      </c>
      <c r="X6" s="17">
        <f>AVERAGE(G11,G15,L11,L15,Q11,Q15)</f>
        <v>3.7141666666666668</v>
      </c>
    </row>
    <row r="7" spans="1:24" x14ac:dyDescent="0.25">
      <c r="A7" s="9"/>
      <c r="B7" s="1" t="s">
        <v>14</v>
      </c>
      <c r="C7" s="22">
        <v>0</v>
      </c>
      <c r="D7" s="23" t="s">
        <v>7</v>
      </c>
      <c r="E7" s="33">
        <v>1.4127710467386713E-3</v>
      </c>
      <c r="F7" s="33">
        <v>7.7682054861803545E-4</v>
      </c>
      <c r="G7" s="28">
        <v>2.4950000000000006</v>
      </c>
      <c r="H7" s="37">
        <v>0.56296023890505364</v>
      </c>
      <c r="I7" s="37">
        <v>0.41023576809248952</v>
      </c>
      <c r="J7" s="33">
        <v>1.3568688783968711E-3</v>
      </c>
      <c r="K7" s="33">
        <v>1.0336376807389585E-3</v>
      </c>
      <c r="L7" s="28">
        <v>2.5150000000000006</v>
      </c>
      <c r="M7" s="37">
        <v>0.34128201685030196</v>
      </c>
      <c r="N7" s="37">
        <v>0.48411523510786159</v>
      </c>
      <c r="O7" s="33">
        <v>1.2759196805243007E-3</v>
      </c>
      <c r="P7" s="33">
        <v>8.4402683218570609E-4</v>
      </c>
      <c r="Q7" s="28">
        <v>2.42</v>
      </c>
      <c r="R7" s="37" t="s">
        <v>17</v>
      </c>
      <c r="S7" s="37" t="s">
        <v>17</v>
      </c>
      <c r="U7" s="5"/>
      <c r="V7" s="24">
        <v>0.1</v>
      </c>
      <c r="W7" s="25" t="s">
        <v>7</v>
      </c>
      <c r="X7" s="18">
        <f t="shared" ref="X7:X9" si="1">AVERAGE(G12,G16,L12,L16,Q12,Q16)</f>
        <v>2.4075000000000002</v>
      </c>
    </row>
    <row r="8" spans="1:24" x14ac:dyDescent="0.25">
      <c r="A8" s="9"/>
      <c r="B8" s="2"/>
      <c r="C8" s="24">
        <v>0.1</v>
      </c>
      <c r="D8" s="25" t="s">
        <v>7</v>
      </c>
      <c r="E8" s="33">
        <v>1.4026771828547762E-3</v>
      </c>
      <c r="F8" s="33">
        <v>7.6585871788807452E-4</v>
      </c>
      <c r="G8" s="28">
        <v>2.62</v>
      </c>
      <c r="H8" s="37">
        <v>5.7900248143318719E-2</v>
      </c>
      <c r="I8" s="37">
        <v>0.21515442788632333</v>
      </c>
      <c r="J8" s="33">
        <v>1.3648352550443741E-3</v>
      </c>
      <c r="K8" s="33">
        <v>1.0514045367987347E-3</v>
      </c>
      <c r="L8" s="28">
        <v>2.4</v>
      </c>
      <c r="M8" s="37" t="s">
        <v>17</v>
      </c>
      <c r="N8" s="37" t="s">
        <v>17</v>
      </c>
      <c r="O8" s="33">
        <v>1.2785280896281202E-3</v>
      </c>
      <c r="P8" s="33">
        <v>8.454142785431567E-4</v>
      </c>
      <c r="Q8" s="28">
        <v>2.4399999999999995</v>
      </c>
      <c r="R8" s="37">
        <v>0.70960722539542342</v>
      </c>
      <c r="S8" s="37">
        <v>0.86755987298587856</v>
      </c>
      <c r="U8" s="5"/>
      <c r="V8" s="24">
        <v>0.2</v>
      </c>
      <c r="W8" s="25" t="s">
        <v>7</v>
      </c>
      <c r="X8" s="18">
        <f t="shared" si="1"/>
        <v>2.0558333333333332</v>
      </c>
    </row>
    <row r="9" spans="1:24" x14ac:dyDescent="0.25">
      <c r="A9" s="11"/>
      <c r="B9" s="2"/>
      <c r="C9" s="24">
        <v>0.2</v>
      </c>
      <c r="D9" s="25" t="s">
        <v>7</v>
      </c>
      <c r="E9" s="33">
        <v>1.4065375538589158E-3</v>
      </c>
      <c r="F9" s="33">
        <v>7.662105963292191E-4</v>
      </c>
      <c r="G9" s="28">
        <v>2.4900000000000002</v>
      </c>
      <c r="H9" s="37">
        <v>0.17299164721832647</v>
      </c>
      <c r="I9" s="37">
        <v>0.48842097789689232</v>
      </c>
      <c r="J9" s="33">
        <v>1.3653426515669584E-3</v>
      </c>
      <c r="K9" s="33">
        <v>1.0596007346416066E-3</v>
      </c>
      <c r="L9" s="28">
        <v>2.5900000000000003</v>
      </c>
      <c r="M9" s="37">
        <v>0.94374564251123305</v>
      </c>
      <c r="N9" s="37">
        <v>0.81647049847770459</v>
      </c>
      <c r="O9" s="33">
        <v>1.2782700716986747E-3</v>
      </c>
      <c r="P9" s="33">
        <v>8.450611962562088E-4</v>
      </c>
      <c r="Q9" s="28">
        <v>2.5099999999999998</v>
      </c>
      <c r="R9" s="37">
        <v>0.75457247105955694</v>
      </c>
      <c r="S9" s="37">
        <v>0.92193844096747202</v>
      </c>
      <c r="U9" s="6"/>
      <c r="V9" s="26">
        <v>0.3</v>
      </c>
      <c r="W9" s="13" t="s">
        <v>7</v>
      </c>
      <c r="X9" s="19">
        <f t="shared" si="1"/>
        <v>1.8225000000000005</v>
      </c>
    </row>
    <row r="10" spans="1:24" x14ac:dyDescent="0.25">
      <c r="A10" s="11"/>
      <c r="B10" s="10"/>
      <c r="C10" s="26">
        <v>0.3</v>
      </c>
      <c r="D10" s="13" t="s">
        <v>7</v>
      </c>
      <c r="E10" s="33">
        <v>1.416823361058266E-3</v>
      </c>
      <c r="F10" s="33">
        <v>7.7753538601102164E-4</v>
      </c>
      <c r="G10" s="28">
        <v>2.395</v>
      </c>
      <c r="H10" s="37" t="s">
        <v>17</v>
      </c>
      <c r="I10" s="37" t="s">
        <v>17</v>
      </c>
      <c r="J10" s="33">
        <v>1.3682767375860513E-3</v>
      </c>
      <c r="K10" s="33">
        <v>1.0677596411853667E-3</v>
      </c>
      <c r="L10" s="28">
        <v>2.4949999999999997</v>
      </c>
      <c r="M10" s="37">
        <v>0.62803107009512738</v>
      </c>
      <c r="N10" s="37">
        <v>0.42604819317593379</v>
      </c>
      <c r="O10" s="33">
        <v>1.2694631889703944E-3</v>
      </c>
      <c r="P10" s="33">
        <v>8.4064060550415932E-4</v>
      </c>
      <c r="Q10" s="28">
        <v>2.63</v>
      </c>
      <c r="R10" s="37">
        <v>0.35544557292905249</v>
      </c>
      <c r="S10" s="37">
        <v>0.29038158740822034</v>
      </c>
      <c r="U10" s="4" t="s">
        <v>12</v>
      </c>
      <c r="V10" s="22">
        <v>0</v>
      </c>
      <c r="W10" s="23" t="s">
        <v>7</v>
      </c>
      <c r="X10" s="17">
        <f>AVERAGE(G19,G23,L19,L23,Q19,Q23)</f>
        <v>3.9866666666666668</v>
      </c>
    </row>
    <row r="11" spans="1:24" x14ac:dyDescent="0.25">
      <c r="A11" s="8" t="s">
        <v>11</v>
      </c>
      <c r="B11" s="1" t="s">
        <v>13</v>
      </c>
      <c r="C11" s="22">
        <v>0</v>
      </c>
      <c r="D11" s="23" t="s">
        <v>7</v>
      </c>
      <c r="E11" s="33">
        <v>3.9352985839607009E-2</v>
      </c>
      <c r="F11" s="33">
        <v>3.5052006109030287E-3</v>
      </c>
      <c r="G11" s="28">
        <v>4</v>
      </c>
      <c r="H11" s="37">
        <v>7.3632692018892208E-42</v>
      </c>
      <c r="I11" s="37">
        <v>3.8380873502653143E-18</v>
      </c>
      <c r="J11" s="33">
        <v>4.271524354902681E-2</v>
      </c>
      <c r="K11" s="33">
        <v>5.0676476925447305E-3</v>
      </c>
      <c r="L11" s="28">
        <v>4</v>
      </c>
      <c r="M11" s="37">
        <v>2.1445524019001226E-40</v>
      </c>
      <c r="N11" s="37">
        <v>3.8380873502653143E-18</v>
      </c>
      <c r="O11" s="33">
        <v>4.1988757761219207E-2</v>
      </c>
      <c r="P11" s="33">
        <v>3.581494573008992E-3</v>
      </c>
      <c r="Q11" s="28">
        <v>4</v>
      </c>
      <c r="R11" s="37">
        <v>4.8893384355030189E-46</v>
      </c>
      <c r="S11" s="37">
        <v>3.8380873502653143E-18</v>
      </c>
      <c r="U11" s="5"/>
      <c r="V11" s="24">
        <v>0.1</v>
      </c>
      <c r="W11" s="25" t="s">
        <v>7</v>
      </c>
      <c r="X11" s="18">
        <f t="shared" ref="X11:X13" si="2">AVERAGE(G20,G24,L20,L24,Q20,Q24)</f>
        <v>2.67</v>
      </c>
    </row>
    <row r="12" spans="1:24" x14ac:dyDescent="0.25">
      <c r="A12" s="9"/>
      <c r="B12" s="2"/>
      <c r="C12" s="24">
        <v>0.1</v>
      </c>
      <c r="D12" s="25" t="s">
        <v>7</v>
      </c>
      <c r="E12" s="33">
        <v>4.6740936141238656E-2</v>
      </c>
      <c r="F12" s="33">
        <v>5.4051224404434803E-3</v>
      </c>
      <c r="G12" s="28">
        <v>2.3650000000000002</v>
      </c>
      <c r="H12" s="37">
        <v>2.2651067809907066E-10</v>
      </c>
      <c r="I12" s="37">
        <v>3.2375491332453181E-9</v>
      </c>
      <c r="J12" s="33">
        <v>5.2070878243919906E-2</v>
      </c>
      <c r="K12" s="33">
        <v>5.4921598438285105E-3</v>
      </c>
      <c r="L12" s="28">
        <v>2.35</v>
      </c>
      <c r="M12" s="37">
        <v>7.3614554705877009E-9</v>
      </c>
      <c r="N12" s="37">
        <v>7.1988553135493855E-8</v>
      </c>
      <c r="O12" s="33">
        <v>5.016584922178282E-2</v>
      </c>
      <c r="P12" s="33">
        <v>3.9717183033109536E-3</v>
      </c>
      <c r="Q12" s="28">
        <v>2.395</v>
      </c>
      <c r="R12" s="37">
        <v>2.4166104040362557E-7</v>
      </c>
      <c r="S12" s="37">
        <v>1.2361269570702429E-6</v>
      </c>
      <c r="U12" s="5"/>
      <c r="V12" s="24">
        <v>0.2</v>
      </c>
      <c r="W12" s="25" t="s">
        <v>7</v>
      </c>
      <c r="X12" s="18">
        <f t="shared" si="2"/>
        <v>1.7558333333333334</v>
      </c>
    </row>
    <row r="13" spans="1:24" x14ac:dyDescent="0.25">
      <c r="A13" s="9"/>
      <c r="B13" s="2"/>
      <c r="C13" s="24">
        <v>0.2</v>
      </c>
      <c r="D13" s="25" t="s">
        <v>7</v>
      </c>
      <c r="E13" s="33">
        <v>4.7269557029669028E-2</v>
      </c>
      <c r="F13" s="33">
        <v>5.4980393060631398E-3</v>
      </c>
      <c r="G13" s="28">
        <v>2.0150000000000001</v>
      </c>
      <c r="H13" s="37">
        <v>3.3353730184203608E-4</v>
      </c>
      <c r="I13" s="37">
        <v>4.8631955618439718E-4</v>
      </c>
      <c r="J13" s="33">
        <v>5.2576240238775489E-2</v>
      </c>
      <c r="K13" s="33">
        <v>5.6959931524347036E-3</v>
      </c>
      <c r="L13" s="28">
        <v>1.9650000000000001</v>
      </c>
      <c r="M13" s="37">
        <v>1.3138934199394762E-3</v>
      </c>
      <c r="N13" s="37">
        <v>2.0529854565663735E-3</v>
      </c>
      <c r="O13" s="33">
        <v>5.0923337431683272E-2</v>
      </c>
      <c r="P13" s="33">
        <v>4.0425292961474325E-3</v>
      </c>
      <c r="Q13" s="28">
        <v>1.86</v>
      </c>
      <c r="R13" s="37">
        <v>0.70412516701715344</v>
      </c>
      <c r="S13" s="37">
        <v>0.60482957907488932</v>
      </c>
      <c r="U13" s="6"/>
      <c r="V13" s="26">
        <v>0.3</v>
      </c>
      <c r="W13" s="13" t="s">
        <v>7</v>
      </c>
      <c r="X13" s="19">
        <f t="shared" si="2"/>
        <v>1.5875000000000001</v>
      </c>
    </row>
    <row r="14" spans="1:24" x14ac:dyDescent="0.25">
      <c r="A14" s="11"/>
      <c r="B14" s="10"/>
      <c r="C14" s="26">
        <v>0.3</v>
      </c>
      <c r="D14" s="13" t="s">
        <v>7</v>
      </c>
      <c r="E14" s="33">
        <v>4.76720878225739E-2</v>
      </c>
      <c r="F14" s="33">
        <v>5.5358664528688071E-3</v>
      </c>
      <c r="G14" s="28">
        <v>1.62</v>
      </c>
      <c r="H14" s="37" t="s">
        <v>17</v>
      </c>
      <c r="I14" s="37" t="s">
        <v>17</v>
      </c>
      <c r="J14" s="33">
        <v>5.2946153439221932E-2</v>
      </c>
      <c r="K14" s="33">
        <v>5.7663731323991333E-3</v>
      </c>
      <c r="L14" s="28">
        <v>1.6850000000000001</v>
      </c>
      <c r="M14" s="37" t="s">
        <v>17</v>
      </c>
      <c r="N14" s="37" t="s">
        <v>17</v>
      </c>
      <c r="O14" s="33">
        <v>5.0972005679901004E-2</v>
      </c>
      <c r="P14" s="33">
        <v>4.0971216528507739E-3</v>
      </c>
      <c r="Q14" s="28">
        <v>1.7450000000000001</v>
      </c>
      <c r="R14" s="37" t="s">
        <v>17</v>
      </c>
      <c r="S14" s="37" t="s">
        <v>17</v>
      </c>
      <c r="U14" s="4" t="s">
        <v>14</v>
      </c>
      <c r="V14" s="22">
        <v>0</v>
      </c>
      <c r="W14" s="23" t="s">
        <v>7</v>
      </c>
      <c r="X14" s="17">
        <f>AVERAGE(G27,G31,L27,L31,Q27,Q31)</f>
        <v>4</v>
      </c>
    </row>
    <row r="15" spans="1:24" x14ac:dyDescent="0.25">
      <c r="A15" s="9"/>
      <c r="B15" s="1" t="s">
        <v>14</v>
      </c>
      <c r="C15" s="22">
        <v>0</v>
      </c>
      <c r="D15" s="23" t="s">
        <v>7</v>
      </c>
      <c r="E15" s="33">
        <v>1.6071664005108042E-2</v>
      </c>
      <c r="F15" s="33">
        <v>8.2416552223691601E-3</v>
      </c>
      <c r="G15" s="28">
        <v>3.32</v>
      </c>
      <c r="H15" s="37">
        <v>6.0580286810862807E-7</v>
      </c>
      <c r="I15" s="37">
        <v>1.4646966784139146E-12</v>
      </c>
      <c r="J15" s="33">
        <v>1.9656507582519654E-2</v>
      </c>
      <c r="K15" s="33">
        <v>9.038923675563075E-3</v>
      </c>
      <c r="L15" s="28">
        <v>3.5150000000000001</v>
      </c>
      <c r="M15" s="37">
        <v>8.2980658294122231E-14</v>
      </c>
      <c r="N15" s="37">
        <v>1.1192902752827548E-15</v>
      </c>
      <c r="O15" s="33">
        <v>2.0750757334989392E-2</v>
      </c>
      <c r="P15" s="33">
        <v>8.6197542076382506E-3</v>
      </c>
      <c r="Q15" s="28">
        <v>3.45</v>
      </c>
      <c r="R15" s="37">
        <v>5.8406822857160699E-13</v>
      </c>
      <c r="S15" s="37">
        <v>4.1655278750925027E-14</v>
      </c>
      <c r="U15" s="5"/>
      <c r="V15" s="24">
        <v>0.1</v>
      </c>
      <c r="W15" s="25" t="s">
        <v>7</v>
      </c>
      <c r="X15" s="18">
        <f t="shared" ref="X15:X17" si="3">AVERAGE(G28,G32,L28,L32,Q28,Q32)</f>
        <v>2.8633333333333333</v>
      </c>
    </row>
    <row r="16" spans="1:24" x14ac:dyDescent="0.25">
      <c r="A16" s="9"/>
      <c r="B16" s="2"/>
      <c r="C16" s="24">
        <v>0.1</v>
      </c>
      <c r="D16" s="25" t="s">
        <v>7</v>
      </c>
      <c r="E16" s="33">
        <v>1.6612987526072306E-2</v>
      </c>
      <c r="F16" s="33">
        <v>9.0827731416955899E-3</v>
      </c>
      <c r="G16" s="28">
        <v>2.395</v>
      </c>
      <c r="H16" s="37">
        <v>4.3527928324041867E-3</v>
      </c>
      <c r="I16" s="37">
        <v>2.3834369621771141E-3</v>
      </c>
      <c r="J16" s="33">
        <v>2.0606819823896984E-2</v>
      </c>
      <c r="K16" s="33">
        <v>9.9410662957607181E-3</v>
      </c>
      <c r="L16" s="28">
        <v>2.4350000000000001</v>
      </c>
      <c r="M16" s="37">
        <v>4.9986963015437485E-7</v>
      </c>
      <c r="N16" s="37">
        <v>9.5622173075458398E-6</v>
      </c>
      <c r="O16" s="33">
        <v>2.1736288105471298E-2</v>
      </c>
      <c r="P16" s="33">
        <v>9.5605677317810722E-3</v>
      </c>
      <c r="Q16" s="28">
        <v>2.5049999999999999</v>
      </c>
      <c r="R16" s="37">
        <v>1.0230690512975243E-3</v>
      </c>
      <c r="S16" s="37">
        <v>5.7326480712108106E-3</v>
      </c>
      <c r="U16" s="5"/>
      <c r="V16" s="24">
        <v>0.2</v>
      </c>
      <c r="W16" s="25" t="s">
        <v>7</v>
      </c>
      <c r="X16" s="18">
        <f t="shared" si="3"/>
        <v>1.7208333333333332</v>
      </c>
    </row>
    <row r="17" spans="1:24" x14ac:dyDescent="0.25">
      <c r="A17" s="11"/>
      <c r="B17" s="2"/>
      <c r="C17" s="24">
        <v>0.2</v>
      </c>
      <c r="D17" s="25" t="s">
        <v>7</v>
      </c>
      <c r="E17" s="33">
        <v>1.6653781775349118E-2</v>
      </c>
      <c r="F17" s="33">
        <v>9.1578110089201338E-3</v>
      </c>
      <c r="G17" s="28">
        <v>2.29</v>
      </c>
      <c r="H17" s="37">
        <v>9.0570360011921758E-3</v>
      </c>
      <c r="I17" s="37">
        <v>4.8623387120456815E-2</v>
      </c>
      <c r="J17" s="33">
        <v>2.0870669573100624E-2</v>
      </c>
      <c r="K17" s="33">
        <v>1.0215487254690641E-2</v>
      </c>
      <c r="L17" s="28">
        <v>2.16</v>
      </c>
      <c r="M17" s="37">
        <v>0.30815373791267497</v>
      </c>
      <c r="N17" s="37">
        <v>0.14535652784305009</v>
      </c>
      <c r="O17" s="33">
        <v>2.1972609917730899E-2</v>
      </c>
      <c r="P17" s="33">
        <v>9.773811229462118E-3</v>
      </c>
      <c r="Q17" s="28">
        <v>2.0449999999999999</v>
      </c>
      <c r="R17" s="37" t="s">
        <v>17</v>
      </c>
      <c r="S17" s="37" t="s">
        <v>17</v>
      </c>
      <c r="U17" s="6"/>
      <c r="V17" s="26">
        <v>0.3</v>
      </c>
      <c r="W17" s="13" t="s">
        <v>7</v>
      </c>
      <c r="X17" s="19">
        <f t="shared" si="3"/>
        <v>1.4158333333333335</v>
      </c>
    </row>
    <row r="18" spans="1:24" x14ac:dyDescent="0.25">
      <c r="A18" s="11"/>
      <c r="B18" s="10"/>
      <c r="C18" s="26">
        <v>0.3</v>
      </c>
      <c r="D18" s="13" t="s">
        <v>7</v>
      </c>
      <c r="E18" s="33">
        <v>1.6759816694749644E-2</v>
      </c>
      <c r="F18" s="33">
        <v>9.2507093776364787E-3</v>
      </c>
      <c r="G18" s="28">
        <v>1.9950000000000001</v>
      </c>
      <c r="H18" s="37" t="s">
        <v>17</v>
      </c>
      <c r="I18" s="37" t="s">
        <v>17</v>
      </c>
      <c r="J18" s="33">
        <v>2.0923879165832493E-2</v>
      </c>
      <c r="K18" s="33">
        <v>1.0181955319469263E-2</v>
      </c>
      <c r="L18" s="28">
        <v>1.8900000000000003</v>
      </c>
      <c r="M18" s="37" t="s">
        <v>17</v>
      </c>
      <c r="N18" s="37" t="s">
        <v>17</v>
      </c>
      <c r="O18" s="33">
        <v>2.2001846509783544E-2</v>
      </c>
      <c r="P18" s="33">
        <v>9.8017487169379039E-3</v>
      </c>
      <c r="Q18" s="28">
        <v>2</v>
      </c>
      <c r="R18" s="37">
        <v>0.61375555097080237</v>
      </c>
      <c r="S18" s="37">
        <v>0.41415582582269961</v>
      </c>
    </row>
    <row r="19" spans="1:24" x14ac:dyDescent="0.25">
      <c r="A19" s="8" t="s">
        <v>12</v>
      </c>
      <c r="B19" s="1" t="s">
        <v>13</v>
      </c>
      <c r="C19" s="22">
        <v>0</v>
      </c>
      <c r="D19" s="23" t="s">
        <v>7</v>
      </c>
      <c r="E19" s="33">
        <v>3.5401527134786288E-2</v>
      </c>
      <c r="F19" s="33">
        <v>6.8102571751946931E-3</v>
      </c>
      <c r="G19" s="28">
        <v>4</v>
      </c>
      <c r="H19" s="37">
        <v>2.6787561938745711E-84</v>
      </c>
      <c r="I19" s="37">
        <v>3.8380873502653143E-18</v>
      </c>
      <c r="J19" s="33">
        <v>3.6509919850144741E-2</v>
      </c>
      <c r="K19" s="33">
        <v>7.1317097012196422E-3</v>
      </c>
      <c r="L19" s="28">
        <v>4</v>
      </c>
      <c r="M19" s="37">
        <v>1.4774317645413751E-75</v>
      </c>
      <c r="N19" s="37">
        <v>3.8380873502653143E-18</v>
      </c>
      <c r="O19" s="33">
        <v>3.449169024868172E-2</v>
      </c>
      <c r="P19" s="33">
        <v>7.7272775248830331E-3</v>
      </c>
      <c r="Q19" s="28">
        <v>4</v>
      </c>
      <c r="R19" s="37">
        <v>3.9482465482775389E-83</v>
      </c>
      <c r="S19" s="37">
        <v>3.8380873502653143E-18</v>
      </c>
    </row>
    <row r="20" spans="1:24" x14ac:dyDescent="0.25">
      <c r="A20" s="9"/>
      <c r="B20" s="2"/>
      <c r="C20" s="24">
        <v>0.1</v>
      </c>
      <c r="D20" s="25" t="s">
        <v>7</v>
      </c>
      <c r="E20" s="33">
        <v>0.10328677621563678</v>
      </c>
      <c r="F20" s="33">
        <v>7.1756753670246844E-3</v>
      </c>
      <c r="G20" s="28">
        <v>2.66</v>
      </c>
      <c r="H20" s="37">
        <v>3.5621866638222661E-13</v>
      </c>
      <c r="I20" s="37">
        <v>5.7687961449363634E-12</v>
      </c>
      <c r="J20" s="33">
        <v>0.10627570067519913</v>
      </c>
      <c r="K20" s="33">
        <v>1.083589241154299E-2</v>
      </c>
      <c r="L20" s="28">
        <v>2.7349999999999999</v>
      </c>
      <c r="M20" s="37">
        <v>9.8428044476230649E-22</v>
      </c>
      <c r="N20" s="37">
        <v>3.945144522762763E-16</v>
      </c>
      <c r="O20" s="33">
        <v>0.11197604245148619</v>
      </c>
      <c r="P20" s="33">
        <v>1.0556786423656249E-2</v>
      </c>
      <c r="Q20" s="28">
        <v>2.6850000000000001</v>
      </c>
      <c r="R20" s="37">
        <v>6.095854015484886E-17</v>
      </c>
      <c r="S20" s="37">
        <v>2.9517788142970535E-14</v>
      </c>
    </row>
    <row r="21" spans="1:24" x14ac:dyDescent="0.25">
      <c r="A21" s="9"/>
      <c r="B21" s="2"/>
      <c r="C21" s="24">
        <v>0.2</v>
      </c>
      <c r="D21" s="25" t="s">
        <v>7</v>
      </c>
      <c r="E21" s="33">
        <v>0.10535560445170057</v>
      </c>
      <c r="F21" s="33">
        <v>7.3993090053233752E-3</v>
      </c>
      <c r="G21" s="28">
        <v>1.75</v>
      </c>
      <c r="H21" s="37">
        <v>0.4403232207766013</v>
      </c>
      <c r="I21" s="37">
        <v>0.34878761142809922</v>
      </c>
      <c r="J21" s="33">
        <v>0.10865918806074046</v>
      </c>
      <c r="K21" s="33">
        <v>1.0521952654858556E-2</v>
      </c>
      <c r="L21" s="28">
        <v>1.79</v>
      </c>
      <c r="M21" s="37">
        <v>1.0992462032385238E-3</v>
      </c>
      <c r="N21" s="37">
        <v>1.6645732112904954E-3</v>
      </c>
      <c r="O21" s="33">
        <v>0.11426168174597195</v>
      </c>
      <c r="P21" s="33">
        <v>1.0443224467436382E-2</v>
      </c>
      <c r="Q21" s="28">
        <v>1.7849999999999999</v>
      </c>
      <c r="R21" s="37">
        <v>0.16736260905586345</v>
      </c>
      <c r="S21" s="37">
        <v>0.17496584339011181</v>
      </c>
    </row>
    <row r="22" spans="1:24" x14ac:dyDescent="0.25">
      <c r="A22" s="11"/>
      <c r="B22" s="10"/>
      <c r="C22" s="26">
        <v>0.3</v>
      </c>
      <c r="D22" s="13" t="s">
        <v>7</v>
      </c>
      <c r="E22" s="33">
        <v>0.10552755038078597</v>
      </c>
      <c r="F22" s="33">
        <v>7.4647319861454063E-3</v>
      </c>
      <c r="G22" s="28">
        <v>1.59</v>
      </c>
      <c r="H22" s="37" t="s">
        <v>17</v>
      </c>
      <c r="I22" s="37" t="s">
        <v>17</v>
      </c>
      <c r="J22" s="33">
        <v>0.10931826833884992</v>
      </c>
      <c r="K22" s="33">
        <v>1.0802725745911053E-2</v>
      </c>
      <c r="L22" s="28">
        <v>1.4750000000000001</v>
      </c>
      <c r="M22" s="37" t="s">
        <v>17</v>
      </c>
      <c r="N22" s="37" t="s">
        <v>17</v>
      </c>
      <c r="O22" s="33">
        <v>0.1145756505757452</v>
      </c>
      <c r="P22" s="33">
        <v>1.0491635106040665E-2</v>
      </c>
      <c r="Q22" s="28">
        <v>1.53</v>
      </c>
      <c r="R22" s="37" t="s">
        <v>17</v>
      </c>
      <c r="S22" s="37" t="s">
        <v>17</v>
      </c>
      <c r="V22" s="7" t="s">
        <v>1</v>
      </c>
      <c r="W22" s="7" t="s">
        <v>2</v>
      </c>
      <c r="X22" s="32" t="s">
        <v>6</v>
      </c>
    </row>
    <row r="23" spans="1:24" x14ac:dyDescent="0.25">
      <c r="A23" s="9"/>
      <c r="B23" s="1" t="s">
        <v>14</v>
      </c>
      <c r="C23" s="22">
        <v>0</v>
      </c>
      <c r="D23" s="23" t="s">
        <v>7</v>
      </c>
      <c r="E23" s="33">
        <v>2.6576700302403514E-2</v>
      </c>
      <c r="F23" s="33">
        <v>6.9321689602365082E-3</v>
      </c>
      <c r="G23" s="28">
        <v>3.97</v>
      </c>
      <c r="H23" s="37">
        <v>2.0785902500422208E-19</v>
      </c>
      <c r="I23" s="37">
        <v>3.9559116088995575E-18</v>
      </c>
      <c r="J23" s="33">
        <v>3.0412158075992509E-2</v>
      </c>
      <c r="K23" s="33">
        <v>6.7553277187236919E-3</v>
      </c>
      <c r="L23" s="28">
        <v>3.95</v>
      </c>
      <c r="M23" s="37">
        <v>2.5364617493268057E-31</v>
      </c>
      <c r="N23" s="37">
        <v>4.0773053093621567E-18</v>
      </c>
      <c r="O23" s="33">
        <v>3.178562345045783E-2</v>
      </c>
      <c r="P23" s="33">
        <v>6.7038027753641748E-3</v>
      </c>
      <c r="Q23" s="28">
        <v>4</v>
      </c>
      <c r="R23" s="37">
        <v>1.0035034079838831E-33</v>
      </c>
      <c r="S23" s="37">
        <v>3.8380873502653143E-18</v>
      </c>
      <c r="V23" s="22">
        <v>0</v>
      </c>
      <c r="W23" s="23" t="s">
        <v>7</v>
      </c>
      <c r="X23" s="29">
        <f>AVERAGE(X2,X6,X10,X14)</f>
        <v>3.605</v>
      </c>
    </row>
    <row r="24" spans="1:24" x14ac:dyDescent="0.25">
      <c r="A24" s="9"/>
      <c r="B24" s="2"/>
      <c r="C24" s="24">
        <v>0.1</v>
      </c>
      <c r="D24" s="25" t="s">
        <v>7</v>
      </c>
      <c r="E24" s="33">
        <v>3.9394287050029203E-2</v>
      </c>
      <c r="F24" s="33">
        <v>1.7340838041955197E-2</v>
      </c>
      <c r="G24" s="28">
        <v>2.71</v>
      </c>
      <c r="H24" s="37">
        <v>7.0246523248717629E-11</v>
      </c>
      <c r="I24" s="37">
        <v>1.5747803577346527E-11</v>
      </c>
      <c r="J24" s="33">
        <v>5.5776945095062064E-2</v>
      </c>
      <c r="K24" s="33">
        <v>1.8966156960058482E-2</v>
      </c>
      <c r="L24" s="28">
        <v>2.59</v>
      </c>
      <c r="M24" s="37">
        <v>3.5301205721028904E-14</v>
      </c>
      <c r="N24" s="37">
        <v>3.8196925939771434E-12</v>
      </c>
      <c r="O24" s="33">
        <v>5.8777345640217311E-2</v>
      </c>
      <c r="P24" s="33">
        <v>1.8429876229904284E-2</v>
      </c>
      <c r="Q24" s="28">
        <v>2.64</v>
      </c>
      <c r="R24" s="37">
        <v>1.4603574990691749E-13</v>
      </c>
      <c r="S24" s="37">
        <v>2.6474499517944524E-12</v>
      </c>
      <c r="V24" s="24">
        <v>0.1</v>
      </c>
      <c r="W24" s="25" t="s">
        <v>7</v>
      </c>
      <c r="X24" s="30">
        <f t="shared" ref="X24:X26" si="4">AVERAGE(X3,X7,X11,X15)</f>
        <v>2.6122916666666667</v>
      </c>
    </row>
    <row r="25" spans="1:24" x14ac:dyDescent="0.25">
      <c r="A25" s="11"/>
      <c r="B25" s="2"/>
      <c r="C25" s="24">
        <v>0.2</v>
      </c>
      <c r="D25" s="25" t="s">
        <v>7</v>
      </c>
      <c r="E25" s="33">
        <v>4.015284669620911E-2</v>
      </c>
      <c r="F25" s="33">
        <v>1.7702258080593131E-2</v>
      </c>
      <c r="G25" s="28">
        <v>1.7150000000000001</v>
      </c>
      <c r="H25" s="37">
        <v>0.19400033028490848</v>
      </c>
      <c r="I25" s="37">
        <v>0.32967679589291338</v>
      </c>
      <c r="J25" s="33">
        <v>5.6802563776639191E-2</v>
      </c>
      <c r="K25" s="33">
        <v>1.935285774302942E-2</v>
      </c>
      <c r="L25" s="28">
        <v>1.83</v>
      </c>
      <c r="M25" s="37">
        <v>9.9061428070617678E-3</v>
      </c>
      <c r="N25" s="37">
        <v>2.3991816998606336E-2</v>
      </c>
      <c r="O25" s="33">
        <v>6.0079285207334507E-2</v>
      </c>
      <c r="P25" s="33">
        <v>1.8831920314563318E-2</v>
      </c>
      <c r="Q25" s="28">
        <v>1.665</v>
      </c>
      <c r="R25" s="37" t="s">
        <v>17</v>
      </c>
      <c r="S25" s="37" t="s">
        <v>17</v>
      </c>
      <c r="V25" s="24">
        <v>0.2</v>
      </c>
      <c r="W25" s="25" t="s">
        <v>7</v>
      </c>
      <c r="X25" s="30">
        <f t="shared" si="4"/>
        <v>1.9824999999999999</v>
      </c>
    </row>
    <row r="26" spans="1:24" x14ac:dyDescent="0.25">
      <c r="A26" s="11"/>
      <c r="B26" s="10"/>
      <c r="C26" s="26">
        <v>0.3</v>
      </c>
      <c r="D26" s="13" t="s">
        <v>7</v>
      </c>
      <c r="E26" s="33">
        <v>4.0254381528986548E-2</v>
      </c>
      <c r="F26" s="33">
        <v>1.7764926635115832E-2</v>
      </c>
      <c r="G26" s="28">
        <v>1.605</v>
      </c>
      <c r="H26" s="37" t="s">
        <v>17</v>
      </c>
      <c r="I26" s="37" t="s">
        <v>17</v>
      </c>
      <c r="J26" s="33">
        <v>5.7134559182616708E-2</v>
      </c>
      <c r="K26" s="33">
        <v>1.9443733707406295E-2</v>
      </c>
      <c r="L26" s="28">
        <v>1.63</v>
      </c>
      <c r="M26" s="37" t="s">
        <v>17</v>
      </c>
      <c r="N26" s="37" t="s">
        <v>17</v>
      </c>
      <c r="O26" s="33">
        <v>6.005397472770399E-2</v>
      </c>
      <c r="P26" s="33">
        <v>1.9083002881051695E-2</v>
      </c>
      <c r="Q26" s="28">
        <v>1.6950000000000001</v>
      </c>
      <c r="R26" s="37">
        <v>0.83835764306122651</v>
      </c>
      <c r="S26" s="37">
        <v>0.64869343619110098</v>
      </c>
      <c r="V26" s="26">
        <v>0.3</v>
      </c>
      <c r="W26" s="13" t="s">
        <v>7</v>
      </c>
      <c r="X26" s="31">
        <f t="shared" si="4"/>
        <v>1.8002083333333336</v>
      </c>
    </row>
    <row r="27" spans="1:24" x14ac:dyDescent="0.25">
      <c r="A27" s="8" t="s">
        <v>14</v>
      </c>
      <c r="B27" s="1" t="s">
        <v>13</v>
      </c>
      <c r="C27" s="22">
        <v>0</v>
      </c>
      <c r="D27" s="23" t="s">
        <v>7</v>
      </c>
      <c r="E27" s="33">
        <v>2.5240829213832066E-2</v>
      </c>
      <c r="F27" s="33">
        <v>4.6601709276403022E-3</v>
      </c>
      <c r="G27" s="28">
        <v>4</v>
      </c>
      <c r="H27" s="37">
        <v>1.8413972705504166E-112</v>
      </c>
      <c r="I27" s="37">
        <v>3.8380873502653143E-18</v>
      </c>
      <c r="J27" s="33">
        <v>2.5705574376565749E-2</v>
      </c>
      <c r="K27" s="33">
        <v>4.695548222397373E-3</v>
      </c>
      <c r="L27" s="28">
        <v>4</v>
      </c>
      <c r="M27" s="37">
        <v>1.5519536651969305E-96</v>
      </c>
      <c r="N27" s="37">
        <v>3.8380873502653143E-18</v>
      </c>
      <c r="O27" s="33">
        <v>2.5226792055569606E-2</v>
      </c>
      <c r="P27" s="33">
        <v>4.9152430331909783E-3</v>
      </c>
      <c r="Q27" s="28">
        <v>4</v>
      </c>
      <c r="R27" s="37">
        <v>2.7997327424785347E-113</v>
      </c>
      <c r="S27" s="37">
        <v>3.8380873502653143E-18</v>
      </c>
    </row>
    <row r="28" spans="1:24" x14ac:dyDescent="0.25">
      <c r="A28" s="9"/>
      <c r="B28" s="2"/>
      <c r="C28" s="24">
        <v>0.1</v>
      </c>
      <c r="D28" s="25" t="s">
        <v>7</v>
      </c>
      <c r="E28" s="33">
        <v>0.15077973763998301</v>
      </c>
      <c r="F28" s="33">
        <v>9.3251681464795576E-3</v>
      </c>
      <c r="G28" s="28">
        <v>2.89</v>
      </c>
      <c r="H28" s="37">
        <v>1.2799451410426905E-34</v>
      </c>
      <c r="I28" s="37">
        <v>6.4071449084651596E-18</v>
      </c>
      <c r="J28" s="33">
        <v>0.14934468172645723</v>
      </c>
      <c r="K28" s="33">
        <v>1.3905451127460602E-2</v>
      </c>
      <c r="L28" s="28">
        <v>2.86</v>
      </c>
      <c r="M28" s="37">
        <v>3.9072674091002118E-32</v>
      </c>
      <c r="N28" s="37">
        <v>1.0346287121539848E-17</v>
      </c>
      <c r="O28" s="33">
        <v>0.15201830112848011</v>
      </c>
      <c r="P28" s="33">
        <v>8.6923521145311506E-3</v>
      </c>
      <c r="Q28" s="28">
        <v>2.9</v>
      </c>
      <c r="R28" s="37">
        <v>3.7569215338740468E-43</v>
      </c>
      <c r="S28" s="37">
        <v>3.9559116088995575E-18</v>
      </c>
    </row>
    <row r="29" spans="1:24" x14ac:dyDescent="0.25">
      <c r="A29" s="9"/>
      <c r="B29" s="2"/>
      <c r="C29" s="24">
        <v>0.2</v>
      </c>
      <c r="D29" s="25" t="s">
        <v>7</v>
      </c>
      <c r="E29" s="33">
        <v>0.15560224917118845</v>
      </c>
      <c r="F29" s="33">
        <v>9.3200642357065492E-3</v>
      </c>
      <c r="G29" s="28">
        <v>1.7250000000000001</v>
      </c>
      <c r="H29" s="37">
        <v>5.3754197486014605E-4</v>
      </c>
      <c r="I29" s="37">
        <v>2.3257013916197928E-4</v>
      </c>
      <c r="J29" s="33">
        <v>0.15449006335098558</v>
      </c>
      <c r="K29" s="33">
        <v>1.3949255529558044E-2</v>
      </c>
      <c r="L29" s="28">
        <v>1.68</v>
      </c>
      <c r="M29" s="37">
        <v>3.4209935417567268E-4</v>
      </c>
      <c r="N29" s="37">
        <v>5.9657373916438886E-4</v>
      </c>
      <c r="O29" s="33">
        <v>0.15723315171247798</v>
      </c>
      <c r="P29" s="33">
        <v>8.5759988488779051E-3</v>
      </c>
      <c r="Q29" s="28">
        <v>1.79</v>
      </c>
      <c r="R29" s="37">
        <v>2.13948735960877E-8</v>
      </c>
      <c r="S29" s="37">
        <v>2.4348495590409706E-7</v>
      </c>
    </row>
    <row r="30" spans="1:24" x14ac:dyDescent="0.25">
      <c r="A30" s="11"/>
      <c r="B30" s="10"/>
      <c r="C30" s="26">
        <v>0.3</v>
      </c>
      <c r="D30" s="13" t="s">
        <v>7</v>
      </c>
      <c r="E30" s="33">
        <v>0.15658219858459801</v>
      </c>
      <c r="F30" s="33">
        <v>9.7242166273583674E-3</v>
      </c>
      <c r="G30" s="28">
        <v>1.385</v>
      </c>
      <c r="H30" s="37" t="s">
        <v>17</v>
      </c>
      <c r="I30" s="37" t="s">
        <v>17</v>
      </c>
      <c r="J30" s="33">
        <v>0.1555870073893989</v>
      </c>
      <c r="K30" s="33">
        <v>1.4364498204852815E-2</v>
      </c>
      <c r="L30" s="28">
        <v>1.46</v>
      </c>
      <c r="M30" s="37" t="s">
        <v>17</v>
      </c>
      <c r="N30" s="37" t="s">
        <v>17</v>
      </c>
      <c r="O30" s="33">
        <v>0.15872179101521131</v>
      </c>
      <c r="P30" s="33">
        <v>8.6118546424867812E-3</v>
      </c>
      <c r="Q30" s="28">
        <v>1.31</v>
      </c>
      <c r="R30" s="37" t="s">
        <v>17</v>
      </c>
      <c r="S30" s="37" t="s">
        <v>17</v>
      </c>
    </row>
    <row r="31" spans="1:24" x14ac:dyDescent="0.25">
      <c r="A31" s="9"/>
      <c r="B31" s="1" t="s">
        <v>14</v>
      </c>
      <c r="C31" s="22">
        <v>0</v>
      </c>
      <c r="D31" s="23" t="s">
        <v>7</v>
      </c>
      <c r="E31" s="33">
        <v>2.1540760078924213E-2</v>
      </c>
      <c r="F31" s="33">
        <v>3.4372279901458453E-3</v>
      </c>
      <c r="G31" s="28">
        <v>4</v>
      </c>
      <c r="H31" s="37">
        <v>1.6480949027702182E-39</v>
      </c>
      <c r="I31" s="37">
        <v>3.8380873502653143E-18</v>
      </c>
      <c r="J31" s="33">
        <v>2.2895666328325605E-2</v>
      </c>
      <c r="K31" s="33">
        <v>3.7949876132631227E-3</v>
      </c>
      <c r="L31" s="28">
        <v>4</v>
      </c>
      <c r="M31" s="37">
        <v>1.560575077101499E-52</v>
      </c>
      <c r="N31" s="37">
        <v>3.8380873502653143E-18</v>
      </c>
      <c r="O31" s="33">
        <v>2.3795430993467995E-2</v>
      </c>
      <c r="P31" s="33">
        <v>4.1586430262974105E-3</v>
      </c>
      <c r="Q31" s="28">
        <v>4</v>
      </c>
      <c r="R31" s="37">
        <v>4.407240643607489E-54</v>
      </c>
      <c r="S31" s="37">
        <v>3.8380873502653143E-18</v>
      </c>
    </row>
    <row r="32" spans="1:24" x14ac:dyDescent="0.25">
      <c r="A32" s="9"/>
      <c r="B32" s="2"/>
      <c r="C32" s="24">
        <v>0.1</v>
      </c>
      <c r="D32" s="25" t="s">
        <v>7</v>
      </c>
      <c r="E32" s="33">
        <v>6.7611873490742103E-2</v>
      </c>
      <c r="F32" s="33">
        <v>2.3158120386528442E-2</v>
      </c>
      <c r="G32" s="28">
        <v>2.82</v>
      </c>
      <c r="H32" s="37">
        <v>1.3263134307388845E-21</v>
      </c>
      <c r="I32" s="37">
        <v>1.8247726364865574E-16</v>
      </c>
      <c r="J32" s="33">
        <v>8.4606524285453913E-2</v>
      </c>
      <c r="K32" s="33">
        <v>2.1644937504768234E-2</v>
      </c>
      <c r="L32" s="28">
        <v>2.8450000000000002</v>
      </c>
      <c r="M32" s="37">
        <v>1.3912469508295573E-28</v>
      </c>
      <c r="N32" s="37">
        <v>2.3761387714799937E-17</v>
      </c>
      <c r="O32" s="33">
        <v>9.1211079036083012E-2</v>
      </c>
      <c r="P32" s="33">
        <v>2.3348554421639359E-2</v>
      </c>
      <c r="Q32" s="28">
        <v>2.8650000000000002</v>
      </c>
      <c r="R32" s="37">
        <v>8.5271620131658359E-34</v>
      </c>
      <c r="S32" s="37">
        <v>1.0659796953697835E-17</v>
      </c>
    </row>
    <row r="33" spans="1:19" x14ac:dyDescent="0.25">
      <c r="A33" s="11"/>
      <c r="B33" s="2"/>
      <c r="C33" s="24">
        <v>0.2</v>
      </c>
      <c r="D33" s="25" t="s">
        <v>7</v>
      </c>
      <c r="E33" s="33">
        <v>6.96372237764325E-2</v>
      </c>
      <c r="F33" s="33">
        <v>2.3884121524446709E-2</v>
      </c>
      <c r="G33" s="28">
        <v>1.66</v>
      </c>
      <c r="H33" s="37">
        <v>4.6212768328985805E-2</v>
      </c>
      <c r="I33" s="37">
        <v>0.12557828381858849</v>
      </c>
      <c r="J33" s="33">
        <v>8.7472630045984975E-2</v>
      </c>
      <c r="K33" s="33">
        <v>2.2317207201268209E-2</v>
      </c>
      <c r="L33" s="28">
        <v>1.7</v>
      </c>
      <c r="M33" s="37">
        <v>4.5921438668125217E-4</v>
      </c>
      <c r="N33" s="37">
        <v>7.4820447454320219E-4</v>
      </c>
      <c r="O33" s="33">
        <v>9.4241213757472145E-2</v>
      </c>
      <c r="P33" s="33">
        <v>2.3891240362238018E-2</v>
      </c>
      <c r="Q33" s="28">
        <v>1.77</v>
      </c>
      <c r="R33" s="37">
        <v>2.0991672319746702E-5</v>
      </c>
      <c r="S33" s="37">
        <v>4.9295453691228142E-5</v>
      </c>
    </row>
    <row r="34" spans="1:19" x14ac:dyDescent="0.25">
      <c r="A34" s="12"/>
      <c r="B34" s="10"/>
      <c r="C34" s="26">
        <v>0.3</v>
      </c>
      <c r="D34" s="13" t="s">
        <v>7</v>
      </c>
      <c r="E34" s="33">
        <v>6.9897917338356555E-2</v>
      </c>
      <c r="F34" s="33">
        <v>2.4113325213401218E-2</v>
      </c>
      <c r="G34" s="28">
        <v>1.52</v>
      </c>
      <c r="H34" s="37" t="s">
        <v>17</v>
      </c>
      <c r="I34" s="37" t="s">
        <v>17</v>
      </c>
      <c r="J34" s="33">
        <v>8.8026118524975133E-2</v>
      </c>
      <c r="K34" s="33">
        <v>2.2500372160375707E-2</v>
      </c>
      <c r="L34" s="28">
        <v>1.4550000000000001</v>
      </c>
      <c r="M34" s="37" t="s">
        <v>17</v>
      </c>
      <c r="N34" s="37" t="s">
        <v>17</v>
      </c>
      <c r="O34" s="33">
        <v>9.4962136487928644E-2</v>
      </c>
      <c r="P34" s="33">
        <v>2.410738609727921E-2</v>
      </c>
      <c r="Q34" s="28">
        <v>1.365</v>
      </c>
      <c r="R34" s="37" t="s">
        <v>17</v>
      </c>
      <c r="S34" s="37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22EAF-FD87-42B1-99A5-6CD056391298}">
  <dimension ref="A1:X34"/>
  <sheetViews>
    <sheetView tabSelected="1" zoomScale="115" zoomScaleNormal="115" workbookViewId="0">
      <selection activeCell="O15" sqref="O15"/>
    </sheetView>
  </sheetViews>
  <sheetFormatPr defaultRowHeight="15" x14ac:dyDescent="0.25"/>
  <sheetData>
    <row r="1" spans="1:24" x14ac:dyDescent="0.25">
      <c r="A1" s="14" t="s">
        <v>9</v>
      </c>
      <c r="B1" s="15"/>
      <c r="C1" s="15"/>
      <c r="D1" s="15"/>
      <c r="E1" s="15" t="s">
        <v>13</v>
      </c>
      <c r="F1" s="15"/>
      <c r="G1" s="15"/>
      <c r="H1" s="15"/>
      <c r="I1" s="15"/>
      <c r="J1" s="15" t="s">
        <v>14</v>
      </c>
      <c r="K1" s="15"/>
      <c r="L1" s="15"/>
      <c r="M1" s="15"/>
      <c r="N1" s="15"/>
      <c r="O1" s="15" t="s">
        <v>8</v>
      </c>
      <c r="P1" s="15"/>
      <c r="Q1" s="15"/>
      <c r="R1" s="15"/>
      <c r="S1" s="16"/>
      <c r="U1" s="7" t="s">
        <v>3</v>
      </c>
      <c r="V1" s="7" t="s">
        <v>1</v>
      </c>
      <c r="W1" s="7" t="s">
        <v>2</v>
      </c>
      <c r="X1" s="7" t="s">
        <v>6</v>
      </c>
    </row>
    <row r="2" spans="1:24" x14ac:dyDescent="0.25">
      <c r="A2" s="3" t="s">
        <v>3</v>
      </c>
      <c r="B2" s="3" t="s">
        <v>0</v>
      </c>
      <c r="C2" s="3" t="s">
        <v>1</v>
      </c>
      <c r="D2" s="3" t="s">
        <v>2</v>
      </c>
      <c r="E2" s="3" t="s">
        <v>4</v>
      </c>
      <c r="F2" s="3" t="s">
        <v>5</v>
      </c>
      <c r="G2" s="3" t="s">
        <v>6</v>
      </c>
      <c r="H2" s="3" t="s">
        <v>15</v>
      </c>
      <c r="I2" s="3" t="s">
        <v>16</v>
      </c>
      <c r="J2" s="3" t="s">
        <v>4</v>
      </c>
      <c r="K2" s="3" t="s">
        <v>5</v>
      </c>
      <c r="L2" s="3" t="s">
        <v>6</v>
      </c>
      <c r="M2" s="35" t="s">
        <v>15</v>
      </c>
      <c r="N2" s="35" t="s">
        <v>16</v>
      </c>
      <c r="O2" s="3" t="s">
        <v>4</v>
      </c>
      <c r="P2" s="3" t="s">
        <v>5</v>
      </c>
      <c r="Q2" s="3" t="s">
        <v>6</v>
      </c>
      <c r="R2" s="36" t="s">
        <v>15</v>
      </c>
      <c r="S2" s="36" t="s">
        <v>16</v>
      </c>
      <c r="U2" s="4" t="s">
        <v>10</v>
      </c>
      <c r="V2" s="22">
        <v>0</v>
      </c>
      <c r="W2" s="23" t="s">
        <v>7</v>
      </c>
      <c r="X2" s="17">
        <f>AVERAGE(G3,G7,L3,L7,Q3,Q7)</f>
        <v>2.4233333333333333</v>
      </c>
    </row>
    <row r="3" spans="1:24" x14ac:dyDescent="0.25">
      <c r="A3" s="8" t="s">
        <v>10</v>
      </c>
      <c r="B3" s="1" t="s">
        <v>13</v>
      </c>
      <c r="C3" s="22">
        <v>0</v>
      </c>
      <c r="D3" s="23" t="s">
        <v>7</v>
      </c>
      <c r="E3" s="33">
        <v>3.3250666063164037E-4</v>
      </c>
      <c r="F3" s="33">
        <v>6.0134884063167647E-5</v>
      </c>
      <c r="G3" s="28">
        <v>2.5150000000000001</v>
      </c>
      <c r="H3" s="37">
        <v>0.37040394563911633</v>
      </c>
      <c r="I3" s="37">
        <v>0.46289854743187037</v>
      </c>
      <c r="J3" s="33">
        <v>3.8768418220627037E-4</v>
      </c>
      <c r="K3" s="33">
        <v>8.0601065193648219E-5</v>
      </c>
      <c r="L3" s="28">
        <v>2.5350000000000001</v>
      </c>
      <c r="M3" s="37">
        <v>0.81476866320352459</v>
      </c>
      <c r="N3" s="37">
        <v>0.88653463484059791</v>
      </c>
      <c r="O3" s="33">
        <v>3.8008849932264768E-4</v>
      </c>
      <c r="P3" s="33">
        <v>7.5753409198511207E-5</v>
      </c>
      <c r="Q3" s="28">
        <v>2.5049999999999999</v>
      </c>
      <c r="R3" s="37">
        <v>0.40950794538258645</v>
      </c>
      <c r="S3" s="37">
        <v>0.22158494467999149</v>
      </c>
      <c r="U3" s="5"/>
      <c r="V3" s="24">
        <v>0.1</v>
      </c>
      <c r="W3" s="25" t="s">
        <v>7</v>
      </c>
      <c r="X3" s="18">
        <f t="shared" ref="X3:X5" si="0">AVERAGE(G4,G8,L4,L8,Q4,Q8)</f>
        <v>2.3533333333333335</v>
      </c>
    </row>
    <row r="4" spans="1:24" x14ac:dyDescent="0.25">
      <c r="A4" s="9"/>
      <c r="B4" s="2"/>
      <c r="C4" s="24">
        <v>0.1</v>
      </c>
      <c r="D4" s="25" t="s">
        <v>7</v>
      </c>
      <c r="E4" s="33">
        <v>3.261543558400601E-4</v>
      </c>
      <c r="F4" s="33">
        <v>5.6407109225897895E-5</v>
      </c>
      <c r="G4" s="28">
        <v>2.3400000000000003</v>
      </c>
      <c r="H4" s="37" t="s">
        <v>17</v>
      </c>
      <c r="I4" s="37" t="s">
        <v>17</v>
      </c>
      <c r="J4" s="33">
        <v>3.8562789284349178E-4</v>
      </c>
      <c r="K4" s="33">
        <v>7.5758705861288489E-5</v>
      </c>
      <c r="L4" s="28">
        <v>2.3950000000000005</v>
      </c>
      <c r="M4" s="37" t="s">
        <v>17</v>
      </c>
      <c r="N4" s="37" t="s">
        <v>17</v>
      </c>
      <c r="O4" s="33">
        <v>3.731239874020353E-4</v>
      </c>
      <c r="P4" s="33">
        <v>8.1975944818725549E-5</v>
      </c>
      <c r="Q4" s="28">
        <v>2.33</v>
      </c>
      <c r="R4" s="37" t="s">
        <v>17</v>
      </c>
      <c r="S4" s="37" t="s">
        <v>17</v>
      </c>
      <c r="U4" s="5"/>
      <c r="V4" s="24">
        <v>0.2</v>
      </c>
      <c r="W4" s="25" t="s">
        <v>7</v>
      </c>
      <c r="X4" s="18">
        <f t="shared" si="0"/>
        <v>2.5758333333333332</v>
      </c>
    </row>
    <row r="5" spans="1:24" x14ac:dyDescent="0.25">
      <c r="A5" s="9"/>
      <c r="B5" s="2"/>
      <c r="C5" s="24">
        <v>0.2</v>
      </c>
      <c r="D5" s="25" t="s">
        <v>7</v>
      </c>
      <c r="E5" s="33">
        <v>3.3645656076876883E-4</v>
      </c>
      <c r="F5" s="33">
        <v>6.4549571892999355E-5</v>
      </c>
      <c r="G5" s="28">
        <v>2.5950000000000002</v>
      </c>
      <c r="H5" s="37">
        <v>0.18450402866041216</v>
      </c>
      <c r="I5" s="37">
        <v>0.27497899476928139</v>
      </c>
      <c r="J5" s="33">
        <v>3.8416408245077076E-4</v>
      </c>
      <c r="K5" s="33">
        <v>9.2458268655105555E-5</v>
      </c>
      <c r="L5" s="28">
        <v>2.4250000000000003</v>
      </c>
      <c r="M5" s="37">
        <v>0.88942255585083718</v>
      </c>
      <c r="N5" s="37">
        <v>0.77930605761038341</v>
      </c>
      <c r="O5" s="33">
        <v>3.8393103101883681E-4</v>
      </c>
      <c r="P5" s="33">
        <v>7.1129226725341168E-5</v>
      </c>
      <c r="Q5" s="28">
        <v>2.605</v>
      </c>
      <c r="R5" s="37">
        <v>0.23515562490545117</v>
      </c>
      <c r="S5" s="37">
        <v>0.26897701904801791</v>
      </c>
      <c r="U5" s="6"/>
      <c r="V5" s="26">
        <v>0.3</v>
      </c>
      <c r="W5" s="13" t="s">
        <v>7</v>
      </c>
      <c r="X5" s="19">
        <f t="shared" si="0"/>
        <v>2.6475</v>
      </c>
    </row>
    <row r="6" spans="1:24" x14ac:dyDescent="0.25">
      <c r="A6" s="11"/>
      <c r="B6" s="10"/>
      <c r="C6" s="26">
        <v>0.3</v>
      </c>
      <c r="D6" s="13" t="s">
        <v>7</v>
      </c>
      <c r="E6" s="33">
        <v>3.3843629208693391E-4</v>
      </c>
      <c r="F6" s="33">
        <v>6.698535575703624E-5</v>
      </c>
      <c r="G6" s="28">
        <v>2.5499999999999998</v>
      </c>
      <c r="H6" s="37">
        <v>9.2960002771471123E-2</v>
      </c>
      <c r="I6" s="37">
        <v>9.5056610799807886E-2</v>
      </c>
      <c r="J6" s="33">
        <v>3.9851096320665233E-4</v>
      </c>
      <c r="K6" s="33">
        <v>8.9024731642584794E-5</v>
      </c>
      <c r="L6" s="28">
        <v>2.645</v>
      </c>
      <c r="M6" s="37">
        <v>0.14108779939474456</v>
      </c>
      <c r="N6" s="37">
        <v>0.22948190012262495</v>
      </c>
      <c r="O6" s="33">
        <v>3.8921659403883598E-4</v>
      </c>
      <c r="P6" s="33">
        <v>8.1467918353474888E-5</v>
      </c>
      <c r="Q6" s="28">
        <v>2.56</v>
      </c>
      <c r="R6" s="37">
        <v>7.2471892511579969E-2</v>
      </c>
      <c r="S6" s="37">
        <v>9.992064971841394E-2</v>
      </c>
      <c r="U6" s="4" t="s">
        <v>11</v>
      </c>
      <c r="V6" s="22">
        <v>0</v>
      </c>
      <c r="W6" s="23" t="s">
        <v>7</v>
      </c>
      <c r="X6" s="17">
        <f>AVERAGE(G11,G15,L11,L15,Q11,Q15)</f>
        <v>3.4608333333333334</v>
      </c>
    </row>
    <row r="7" spans="1:24" x14ac:dyDescent="0.25">
      <c r="A7" s="9"/>
      <c r="B7" s="1" t="s">
        <v>14</v>
      </c>
      <c r="C7" s="22">
        <v>0</v>
      </c>
      <c r="D7" s="23" t="s">
        <v>7</v>
      </c>
      <c r="E7" s="33">
        <v>9.3648389455563334E-5</v>
      </c>
      <c r="F7" s="33">
        <v>5.2142863720493195E-5</v>
      </c>
      <c r="G7" s="28">
        <v>2.2749999999999999</v>
      </c>
      <c r="H7" s="37" t="s">
        <v>17</v>
      </c>
      <c r="I7" s="37" t="s">
        <v>17</v>
      </c>
      <c r="J7" s="33">
        <v>9.3947415530806026E-5</v>
      </c>
      <c r="K7" s="33">
        <v>7.5099909952420645E-5</v>
      </c>
      <c r="L7" s="28">
        <v>2.3849999999999998</v>
      </c>
      <c r="M7" s="37">
        <v>0.13486625636022131</v>
      </c>
      <c r="N7" s="37">
        <v>0.23894563658045889</v>
      </c>
      <c r="O7" s="33">
        <v>8.625295401973314E-5</v>
      </c>
      <c r="P7" s="33">
        <v>6.126994686803683E-5</v>
      </c>
      <c r="Q7" s="28">
        <v>2.3250000000000002</v>
      </c>
      <c r="R7" s="37" t="s">
        <v>17</v>
      </c>
      <c r="S7" s="37" t="s">
        <v>17</v>
      </c>
      <c r="U7" s="5"/>
      <c r="V7" s="24">
        <v>0.1</v>
      </c>
      <c r="W7" s="25" t="s">
        <v>7</v>
      </c>
      <c r="X7" s="18">
        <f t="shared" ref="X7:X9" si="1">AVERAGE(G12,G16,L12,L16,Q12,Q16)</f>
        <v>1.9908333333333337</v>
      </c>
    </row>
    <row r="8" spans="1:24" x14ac:dyDescent="0.25">
      <c r="A8" s="9"/>
      <c r="B8" s="2"/>
      <c r="C8" s="24">
        <v>0.1</v>
      </c>
      <c r="D8" s="25" t="s">
        <v>7</v>
      </c>
      <c r="E8" s="33">
        <v>9.7475060779443189E-5</v>
      </c>
      <c r="F8" s="33">
        <v>5.6322933267102861E-5</v>
      </c>
      <c r="G8" s="28">
        <v>2.4699999999999998</v>
      </c>
      <c r="H8" s="37">
        <v>0.1183552420480856</v>
      </c>
      <c r="I8" s="37">
        <v>5.7928824827501842E-2</v>
      </c>
      <c r="J8" s="33">
        <v>9.0417140702410957E-5</v>
      </c>
      <c r="K8" s="33">
        <v>6.8875397302833652E-5</v>
      </c>
      <c r="L8" s="28">
        <v>2.2400000000000002</v>
      </c>
      <c r="M8" s="37" t="s">
        <v>17</v>
      </c>
      <c r="N8" s="37" t="s">
        <v>17</v>
      </c>
      <c r="O8" s="33">
        <v>8.789301491062824E-5</v>
      </c>
      <c r="P8" s="33">
        <v>6.0521865366431486E-5</v>
      </c>
      <c r="Q8" s="28">
        <v>2.3450000000000002</v>
      </c>
      <c r="R8" s="37">
        <v>0.53820490434117563</v>
      </c>
      <c r="S8" s="37">
        <v>0.8892508952828313</v>
      </c>
      <c r="U8" s="5"/>
      <c r="V8" s="24">
        <v>0.2</v>
      </c>
      <c r="W8" s="25" t="s">
        <v>7</v>
      </c>
      <c r="X8" s="18">
        <f t="shared" si="1"/>
        <v>2.1908333333333334</v>
      </c>
    </row>
    <row r="9" spans="1:24" x14ac:dyDescent="0.25">
      <c r="A9" s="11"/>
      <c r="B9" s="2"/>
      <c r="C9" s="24">
        <v>0.2</v>
      </c>
      <c r="D9" s="25" t="s">
        <v>7</v>
      </c>
      <c r="E9" s="33">
        <v>9.9875165870221545E-5</v>
      </c>
      <c r="F9" s="33">
        <v>5.7545480588009254E-5</v>
      </c>
      <c r="G9" s="28">
        <v>2.5399999999999996</v>
      </c>
      <c r="H9" s="37">
        <v>2.0308573800504975E-2</v>
      </c>
      <c r="I9" s="37">
        <v>4.3026344047724548E-2</v>
      </c>
      <c r="J9" s="33">
        <v>9.8351375360046425E-5</v>
      </c>
      <c r="K9" s="33">
        <v>7.6609919334720843E-5</v>
      </c>
      <c r="L9" s="28">
        <v>2.6749999999999998</v>
      </c>
      <c r="M9" s="37">
        <v>1.4978753166454469E-3</v>
      </c>
      <c r="N9" s="37">
        <v>7.5759772776507221E-4</v>
      </c>
      <c r="O9" s="33">
        <v>9.0847344737725636E-5</v>
      </c>
      <c r="P9" s="33">
        <v>6.1753528069258273E-5</v>
      </c>
      <c r="Q9" s="28">
        <v>2.6149999999999998</v>
      </c>
      <c r="R9" s="37">
        <v>0.12264807853685671</v>
      </c>
      <c r="S9" s="37">
        <v>1.1783147270221851E-2</v>
      </c>
      <c r="U9" s="6"/>
      <c r="V9" s="26">
        <v>0.3</v>
      </c>
      <c r="W9" s="13" t="s">
        <v>7</v>
      </c>
      <c r="X9" s="19">
        <f t="shared" si="1"/>
        <v>2.3574999999999999</v>
      </c>
    </row>
    <row r="10" spans="1:24" x14ac:dyDescent="0.25">
      <c r="A10" s="11"/>
      <c r="B10" s="10"/>
      <c r="C10" s="26">
        <v>0.3</v>
      </c>
      <c r="D10" s="13" t="s">
        <v>7</v>
      </c>
      <c r="E10" s="33">
        <v>1.0210109997412687E-4</v>
      </c>
      <c r="F10" s="33">
        <v>5.812201834163661E-5</v>
      </c>
      <c r="G10" s="28">
        <v>2.7149999999999999</v>
      </c>
      <c r="H10" s="37">
        <v>1.4741086183841425E-3</v>
      </c>
      <c r="I10" s="37">
        <v>2.7309814737842483E-3</v>
      </c>
      <c r="J10" s="33">
        <v>9.8173841234653887E-5</v>
      </c>
      <c r="K10" s="33">
        <v>7.5622039833384626E-5</v>
      </c>
      <c r="L10" s="28">
        <v>2.7</v>
      </c>
      <c r="M10" s="37">
        <v>1.670160174716671E-3</v>
      </c>
      <c r="N10" s="37">
        <v>3.2303271778266582E-3</v>
      </c>
      <c r="O10" s="33">
        <v>9.4967107421498265E-5</v>
      </c>
      <c r="P10" s="33">
        <v>6.4516366913343272E-5</v>
      </c>
      <c r="Q10" s="28">
        <v>2.7149999999999999</v>
      </c>
      <c r="R10" s="37">
        <v>1.8181970648163412E-3</v>
      </c>
      <c r="S10" s="37">
        <v>5.8905249978237213E-4</v>
      </c>
      <c r="U10" s="4" t="s">
        <v>12</v>
      </c>
      <c r="V10" s="22">
        <v>0</v>
      </c>
      <c r="W10" s="23" t="s">
        <v>7</v>
      </c>
      <c r="X10" s="17">
        <f>AVERAGE(G19,G23,L19,L23,Q19,Q23)</f>
        <v>3.9983333333333335</v>
      </c>
    </row>
    <row r="11" spans="1:24" x14ac:dyDescent="0.25">
      <c r="A11" s="8" t="s">
        <v>11</v>
      </c>
      <c r="B11" s="1" t="s">
        <v>13</v>
      </c>
      <c r="C11" s="22">
        <v>0</v>
      </c>
      <c r="D11" s="23" t="s">
        <v>7</v>
      </c>
      <c r="E11" s="33">
        <v>3.4278218627245933E-3</v>
      </c>
      <c r="F11" s="33">
        <v>7.1767336357388188E-4</v>
      </c>
      <c r="G11" s="28">
        <v>3.97</v>
      </c>
      <c r="H11" s="37">
        <v>4.9189662746812726E-35</v>
      </c>
      <c r="I11" s="37">
        <v>3.8380873502653143E-18</v>
      </c>
      <c r="J11" s="33">
        <v>3.9274912287612538E-3</v>
      </c>
      <c r="K11" s="33">
        <v>7.1782655581211017E-4</v>
      </c>
      <c r="L11" s="28">
        <v>3.96</v>
      </c>
      <c r="M11" s="37">
        <v>4.4681658620160595E-41</v>
      </c>
      <c r="N11" s="37">
        <v>3.9559116088995575E-18</v>
      </c>
      <c r="O11" s="33">
        <v>3.852398561471911E-3</v>
      </c>
      <c r="P11" s="33">
        <v>5.7857849535568871E-4</v>
      </c>
      <c r="Q11" s="28">
        <v>3.99</v>
      </c>
      <c r="R11" s="37">
        <v>3.8631568739950636E-45</v>
      </c>
      <c r="S11" s="37">
        <v>3.8380873502653143E-18</v>
      </c>
      <c r="U11" s="5"/>
      <c r="V11" s="24">
        <v>0.1</v>
      </c>
      <c r="W11" s="25" t="s">
        <v>7</v>
      </c>
      <c r="X11" s="18">
        <f t="shared" ref="X11:X13" si="2">AVERAGE(G20,G24,L20,L24,Q20,Q24)</f>
        <v>2.0274999999999999</v>
      </c>
    </row>
    <row r="12" spans="1:24" x14ac:dyDescent="0.25">
      <c r="A12" s="9"/>
      <c r="B12" s="2"/>
      <c r="C12" s="24">
        <v>0.1</v>
      </c>
      <c r="D12" s="25" t="s">
        <v>7</v>
      </c>
      <c r="E12" s="33">
        <v>2.2519313411148746E-3</v>
      </c>
      <c r="F12" s="33">
        <v>3.5294601621882731E-4</v>
      </c>
      <c r="G12" s="28">
        <v>1.855</v>
      </c>
      <c r="H12" s="37" t="s">
        <v>17</v>
      </c>
      <c r="I12" s="37" t="s">
        <v>17</v>
      </c>
      <c r="J12" s="33">
        <v>2.4435757714018017E-3</v>
      </c>
      <c r="K12" s="33">
        <v>3.6278159684527395E-4</v>
      </c>
      <c r="L12" s="28">
        <v>1.5549999999999999</v>
      </c>
      <c r="M12" s="37" t="s">
        <v>17</v>
      </c>
      <c r="N12" s="37" t="s">
        <v>17</v>
      </c>
      <c r="O12" s="33">
        <v>2.4222889249494507E-3</v>
      </c>
      <c r="P12" s="33">
        <v>3.1736310315368083E-4</v>
      </c>
      <c r="Q12" s="28">
        <v>1.8</v>
      </c>
      <c r="R12" s="37" t="s">
        <v>17</v>
      </c>
      <c r="S12" s="37" t="s">
        <v>17</v>
      </c>
      <c r="U12" s="5"/>
      <c r="V12" s="24">
        <v>0.2</v>
      </c>
      <c r="W12" s="25" t="s">
        <v>7</v>
      </c>
      <c r="X12" s="18">
        <f t="shared" si="2"/>
        <v>1.9016666666666666</v>
      </c>
    </row>
    <row r="13" spans="1:24" x14ac:dyDescent="0.25">
      <c r="A13" s="9"/>
      <c r="B13" s="2"/>
      <c r="C13" s="24">
        <v>0.2</v>
      </c>
      <c r="D13" s="25" t="s">
        <v>7</v>
      </c>
      <c r="E13" s="33">
        <v>2.3346430683612121E-3</v>
      </c>
      <c r="F13" s="33">
        <v>3.4582954448907874E-4</v>
      </c>
      <c r="G13" s="28">
        <v>2.13</v>
      </c>
      <c r="H13" s="37">
        <v>1.9294217827301858E-2</v>
      </c>
      <c r="I13" s="37">
        <v>4.631521163623039E-2</v>
      </c>
      <c r="J13" s="33">
        <v>2.5581287693526855E-3</v>
      </c>
      <c r="K13" s="33">
        <v>3.7490610794864052E-4</v>
      </c>
      <c r="L13" s="28">
        <v>2.125</v>
      </c>
      <c r="M13" s="37">
        <v>1.0869898520403272E-3</v>
      </c>
      <c r="N13" s="37">
        <v>3.0389115778595052E-4</v>
      </c>
      <c r="O13" s="33">
        <v>2.4970543566941923E-3</v>
      </c>
      <c r="P13" s="33">
        <v>2.9633279940714644E-4</v>
      </c>
      <c r="Q13" s="28">
        <v>2.04</v>
      </c>
      <c r="R13" s="37">
        <v>3.6920036929893839E-2</v>
      </c>
      <c r="S13" s="37">
        <v>4.0606815458079218E-2</v>
      </c>
      <c r="U13" s="6"/>
      <c r="V13" s="26">
        <v>0.3</v>
      </c>
      <c r="W13" s="13" t="s">
        <v>7</v>
      </c>
      <c r="X13" s="19">
        <f t="shared" si="2"/>
        <v>2.0725000000000002</v>
      </c>
    </row>
    <row r="14" spans="1:24" x14ac:dyDescent="0.25">
      <c r="A14" s="11"/>
      <c r="B14" s="10"/>
      <c r="C14" s="26">
        <v>0.3</v>
      </c>
      <c r="D14" s="13" t="s">
        <v>7</v>
      </c>
      <c r="E14" s="33">
        <v>2.2956965360931862E-3</v>
      </c>
      <c r="F14" s="33">
        <v>3.726560019197716E-4</v>
      </c>
      <c r="G14" s="28">
        <v>2.0449999999999999</v>
      </c>
      <c r="H14" s="37">
        <v>0.23485017063934518</v>
      </c>
      <c r="I14" s="37">
        <v>0.19548265412641516</v>
      </c>
      <c r="J14" s="33">
        <v>2.6280164560468027E-3</v>
      </c>
      <c r="K14" s="33">
        <v>4.4586421451243659E-4</v>
      </c>
      <c r="L14" s="28">
        <v>2.36</v>
      </c>
      <c r="M14" s="37">
        <v>1.2399599344632778E-6</v>
      </c>
      <c r="N14" s="37">
        <v>3.4450193781705595E-7</v>
      </c>
      <c r="O14" s="33">
        <v>2.5082630342498371E-3</v>
      </c>
      <c r="P14" s="33">
        <v>3.5414535096533464E-4</v>
      </c>
      <c r="Q14" s="28">
        <v>2.17</v>
      </c>
      <c r="R14" s="37">
        <v>1.7983751338296491E-2</v>
      </c>
      <c r="S14" s="37">
        <v>1.3625108994948258E-2</v>
      </c>
      <c r="U14" s="4" t="s">
        <v>14</v>
      </c>
      <c r="V14" s="22">
        <v>0</v>
      </c>
      <c r="W14" s="23" t="s">
        <v>7</v>
      </c>
      <c r="X14" s="17">
        <f>AVERAGE(G27,G31,L27,L31,Q27,Q31)</f>
        <v>3.9983333333333335</v>
      </c>
    </row>
    <row r="15" spans="1:24" x14ac:dyDescent="0.25">
      <c r="A15" s="9"/>
      <c r="B15" s="1" t="s">
        <v>14</v>
      </c>
      <c r="C15" s="22">
        <v>0</v>
      </c>
      <c r="D15" s="23" t="s">
        <v>7</v>
      </c>
      <c r="E15" s="33">
        <v>9.1568930295984191E-4</v>
      </c>
      <c r="F15" s="33">
        <v>5.873924909835167E-4</v>
      </c>
      <c r="G15" s="28">
        <v>2.65</v>
      </c>
      <c r="H15" s="37">
        <v>2.6257071366826363E-3</v>
      </c>
      <c r="I15" s="37">
        <v>2.1926222694853493E-2</v>
      </c>
      <c r="J15" s="33">
        <v>1.1952594668814651E-3</v>
      </c>
      <c r="K15" s="33">
        <v>6.7972038901109848E-4</v>
      </c>
      <c r="L15" s="28">
        <v>3.06</v>
      </c>
      <c r="M15" s="37">
        <v>3.0638683363537824E-7</v>
      </c>
      <c r="N15" s="37">
        <v>1.3952013924070319E-6</v>
      </c>
      <c r="O15" s="33">
        <v>1.2817445104135192E-3</v>
      </c>
      <c r="P15" s="33">
        <v>8.0150781728386723E-4</v>
      </c>
      <c r="Q15" s="28">
        <v>3.1349999999999998</v>
      </c>
      <c r="R15" s="37">
        <v>6.1702126517920987E-6</v>
      </c>
      <c r="S15" s="37">
        <v>1.0296444674619903E-9</v>
      </c>
      <c r="U15" s="5"/>
      <c r="V15" s="24">
        <v>0.1</v>
      </c>
      <c r="W15" s="25" t="s">
        <v>7</v>
      </c>
      <c r="X15" s="18">
        <f t="shared" ref="X15:X17" si="3">AVERAGE(G28,G32,L28,L32,Q28,Q32)</f>
        <v>2.4575</v>
      </c>
    </row>
    <row r="16" spans="1:24" x14ac:dyDescent="0.25">
      <c r="A16" s="9"/>
      <c r="B16" s="2"/>
      <c r="C16" s="24">
        <v>0.1</v>
      </c>
      <c r="D16" s="25" t="s">
        <v>7</v>
      </c>
      <c r="E16" s="33">
        <v>8.4178609414978581E-4</v>
      </c>
      <c r="F16" s="33">
        <v>4.4749834008987575E-4</v>
      </c>
      <c r="G16" s="28">
        <v>2.3849999999999998</v>
      </c>
      <c r="H16" s="37" t="s">
        <v>17</v>
      </c>
      <c r="I16" s="37" t="s">
        <v>17</v>
      </c>
      <c r="J16" s="33">
        <v>1.0472053364573876E-3</v>
      </c>
      <c r="K16" s="33">
        <v>5.0567153611694767E-4</v>
      </c>
      <c r="L16" s="28">
        <v>2.3350000000000004</v>
      </c>
      <c r="M16" s="37">
        <v>0.31733759752373553</v>
      </c>
      <c r="N16" s="37">
        <v>6.7629184782360061E-2</v>
      </c>
      <c r="O16" s="33">
        <v>1.0681196366226064E-3</v>
      </c>
      <c r="P16" s="33">
        <v>4.9365857865084773E-4</v>
      </c>
      <c r="Q16" s="28">
        <v>2.0150000000000001</v>
      </c>
      <c r="R16" s="37" t="s">
        <v>17</v>
      </c>
      <c r="S16" s="37" t="s">
        <v>17</v>
      </c>
      <c r="U16" s="5"/>
      <c r="V16" s="24">
        <v>0.2</v>
      </c>
      <c r="W16" s="25" t="s">
        <v>7</v>
      </c>
      <c r="X16" s="18">
        <f t="shared" si="3"/>
        <v>1.7175000000000002</v>
      </c>
    </row>
    <row r="17" spans="1:24" x14ac:dyDescent="0.25">
      <c r="A17" s="11"/>
      <c r="B17" s="2"/>
      <c r="C17" s="24">
        <v>0.2</v>
      </c>
      <c r="D17" s="25" t="s">
        <v>7</v>
      </c>
      <c r="E17" s="33">
        <v>8.603152292626777E-4</v>
      </c>
      <c r="F17" s="33">
        <v>4.6297977839395858E-4</v>
      </c>
      <c r="G17" s="28">
        <v>2.4750000000000001</v>
      </c>
      <c r="H17" s="37">
        <v>0.21079228405156297</v>
      </c>
      <c r="I17" s="37">
        <v>0.16015343801750676</v>
      </c>
      <c r="J17" s="33">
        <v>1.0298254661763686E-3</v>
      </c>
      <c r="K17" s="33">
        <v>4.9341924685525069E-4</v>
      </c>
      <c r="L17" s="28">
        <v>2.1949999999999998</v>
      </c>
      <c r="M17" s="37" t="s">
        <v>17</v>
      </c>
      <c r="N17" s="37" t="s">
        <v>17</v>
      </c>
      <c r="O17" s="33">
        <v>1.0881910663951943E-3</v>
      </c>
      <c r="P17" s="33">
        <v>5.0369065958405935E-4</v>
      </c>
      <c r="Q17" s="28">
        <v>2.1799999999999997</v>
      </c>
      <c r="R17" s="37">
        <v>0.27851861645611065</v>
      </c>
      <c r="S17" s="37">
        <v>0.38529743070332306</v>
      </c>
      <c r="U17" s="6"/>
      <c r="V17" s="26">
        <v>0.3</v>
      </c>
      <c r="W17" s="13" t="s">
        <v>7</v>
      </c>
      <c r="X17" s="19">
        <f t="shared" si="3"/>
        <v>1.8266666666666669</v>
      </c>
    </row>
    <row r="18" spans="1:24" x14ac:dyDescent="0.25">
      <c r="A18" s="11"/>
      <c r="B18" s="10"/>
      <c r="C18" s="26">
        <v>0.3</v>
      </c>
      <c r="D18" s="13" t="s">
        <v>7</v>
      </c>
      <c r="E18" s="33">
        <v>8.6643414079462576E-4</v>
      </c>
      <c r="F18" s="33">
        <v>4.8253047534639647E-4</v>
      </c>
      <c r="G18" s="28">
        <v>2.4900000000000002</v>
      </c>
      <c r="H18" s="37">
        <v>0.14372919611220389</v>
      </c>
      <c r="I18" s="37">
        <v>0.37042176020855827</v>
      </c>
      <c r="J18" s="33">
        <v>1.0405060039699661E-3</v>
      </c>
      <c r="K18" s="33">
        <v>5.0671241510496894E-4</v>
      </c>
      <c r="L18" s="28">
        <v>2.41</v>
      </c>
      <c r="M18" s="37">
        <v>0.52385924799108152</v>
      </c>
      <c r="N18" s="37">
        <v>0.59050950497095889</v>
      </c>
      <c r="O18" s="33">
        <v>1.1464945013776185E-3</v>
      </c>
      <c r="P18" s="33">
        <v>5.3271070941996661E-4</v>
      </c>
      <c r="Q18" s="28">
        <v>2.6700000000000004</v>
      </c>
      <c r="R18" s="37">
        <v>6.0555572274303153E-5</v>
      </c>
      <c r="S18" s="37">
        <v>2.1444976153987716E-4</v>
      </c>
    </row>
    <row r="19" spans="1:24" x14ac:dyDescent="0.25">
      <c r="A19" s="8" t="s">
        <v>12</v>
      </c>
      <c r="B19" s="1" t="s">
        <v>13</v>
      </c>
      <c r="C19" s="22">
        <v>0</v>
      </c>
      <c r="D19" s="23" t="s">
        <v>7</v>
      </c>
      <c r="E19" s="33">
        <v>1.3683259094924292E-2</v>
      </c>
      <c r="F19" s="33">
        <v>1.4529302645773629E-3</v>
      </c>
      <c r="G19" s="28">
        <v>4</v>
      </c>
      <c r="H19" s="37">
        <v>8.3695095460604571E-82</v>
      </c>
      <c r="I19" s="37">
        <v>3.8380873502653143E-18</v>
      </c>
      <c r="J19" s="33">
        <v>1.398436351025921E-2</v>
      </c>
      <c r="K19" s="33">
        <v>1.8043147133320835E-3</v>
      </c>
      <c r="L19" s="28">
        <v>4</v>
      </c>
      <c r="M19" s="37">
        <v>3.6638689057179012E-76</v>
      </c>
      <c r="N19" s="37">
        <v>3.8380873502653143E-18</v>
      </c>
      <c r="O19" s="33">
        <v>1.4827885912449372E-2</v>
      </c>
      <c r="P19" s="33">
        <v>1.8139238338698903E-3</v>
      </c>
      <c r="Q19" s="28">
        <v>4</v>
      </c>
      <c r="R19" s="37">
        <v>6.9871001387999911E-79</v>
      </c>
      <c r="S19" s="37">
        <v>3.8380873502653143E-18</v>
      </c>
    </row>
    <row r="20" spans="1:24" x14ac:dyDescent="0.25">
      <c r="A20" s="9"/>
      <c r="B20" s="2"/>
      <c r="C20" s="24">
        <v>0.1</v>
      </c>
      <c r="D20" s="25" t="s">
        <v>7</v>
      </c>
      <c r="E20" s="33">
        <v>4.864787318529221E-3</v>
      </c>
      <c r="F20" s="33">
        <v>5.3301490370394377E-4</v>
      </c>
      <c r="G20" s="28">
        <v>1.9450000000000001</v>
      </c>
      <c r="H20" s="37">
        <v>0.29479530316022567</v>
      </c>
      <c r="I20" s="37">
        <v>0.31455508332170296</v>
      </c>
      <c r="J20" s="33">
        <v>4.9336298556472754E-3</v>
      </c>
      <c r="K20" s="33">
        <v>5.7976386860748494E-4</v>
      </c>
      <c r="L20" s="28">
        <v>1.915</v>
      </c>
      <c r="M20" s="37" t="s">
        <v>17</v>
      </c>
      <c r="N20" s="37" t="s">
        <v>17</v>
      </c>
      <c r="O20" s="33">
        <v>5.1149346443321638E-3</v>
      </c>
      <c r="P20" s="33">
        <v>6.1829479304599316E-4</v>
      </c>
      <c r="Q20" s="28">
        <v>1.88</v>
      </c>
      <c r="R20" s="37">
        <v>0.59508103310109084</v>
      </c>
      <c r="S20" s="37">
        <v>0.59765005238388447</v>
      </c>
    </row>
    <row r="21" spans="1:24" x14ac:dyDescent="0.25">
      <c r="A21" s="9"/>
      <c r="B21" s="2"/>
      <c r="C21" s="24">
        <v>0.2</v>
      </c>
      <c r="D21" s="25" t="s">
        <v>7</v>
      </c>
      <c r="E21" s="33">
        <v>4.79731240831639E-3</v>
      </c>
      <c r="F21" s="33">
        <v>4.3304679158545569E-4</v>
      </c>
      <c r="G21" s="28">
        <v>1.84</v>
      </c>
      <c r="H21" s="37" t="s">
        <v>17</v>
      </c>
      <c r="I21" s="37" t="s">
        <v>17</v>
      </c>
      <c r="J21" s="33">
        <v>4.9760651460264401E-3</v>
      </c>
      <c r="K21" s="33">
        <v>5.8990468173054087E-4</v>
      </c>
      <c r="L21" s="28">
        <v>1.99</v>
      </c>
      <c r="M21" s="37">
        <v>0.4704874386994124</v>
      </c>
      <c r="N21" s="37">
        <v>0.36858770942840491</v>
      </c>
      <c r="O21" s="33">
        <v>5.1430897661610322E-3</v>
      </c>
      <c r="P21" s="33">
        <v>5.7822536616352509E-4</v>
      </c>
      <c r="Q21" s="28">
        <v>1.87</v>
      </c>
      <c r="R21" s="37" t="s">
        <v>17</v>
      </c>
      <c r="S21" s="37" t="s">
        <v>17</v>
      </c>
    </row>
    <row r="22" spans="1:24" x14ac:dyDescent="0.25">
      <c r="A22" s="11"/>
      <c r="B22" s="10"/>
      <c r="C22" s="26">
        <v>0.3</v>
      </c>
      <c r="D22" s="13" t="s">
        <v>7</v>
      </c>
      <c r="E22" s="33">
        <v>4.9749248518511481E-3</v>
      </c>
      <c r="F22" s="33">
        <v>5.004423632785015E-4</v>
      </c>
      <c r="G22" s="28">
        <v>2.2149999999999999</v>
      </c>
      <c r="H22" s="37">
        <v>5.9547755477316585E-3</v>
      </c>
      <c r="I22" s="37">
        <v>4.296522830195923E-3</v>
      </c>
      <c r="J22" s="33">
        <v>5.0724322186507555E-3</v>
      </c>
      <c r="K22" s="33">
        <v>6.1872005063169666E-4</v>
      </c>
      <c r="L22" s="28">
        <v>2.0950000000000002</v>
      </c>
      <c r="M22" s="37">
        <v>2.6817448756646715E-2</v>
      </c>
      <c r="N22" s="37">
        <v>5.5254944745588314E-2</v>
      </c>
      <c r="O22" s="33">
        <v>5.2867803120259915E-3</v>
      </c>
      <c r="P22" s="33">
        <v>6.3851794178442899E-4</v>
      </c>
      <c r="Q22" s="28">
        <v>2.25</v>
      </c>
      <c r="R22" s="37">
        <v>1.5302537130266121E-2</v>
      </c>
      <c r="S22" s="37">
        <v>8.0675575701635496E-3</v>
      </c>
      <c r="V22" s="34" t="s">
        <v>1</v>
      </c>
      <c r="W22" s="34" t="s">
        <v>2</v>
      </c>
      <c r="X22" s="32" t="s">
        <v>6</v>
      </c>
    </row>
    <row r="23" spans="1:24" x14ac:dyDescent="0.25">
      <c r="A23" s="9"/>
      <c r="B23" s="1" t="s">
        <v>14</v>
      </c>
      <c r="C23" s="22">
        <v>0</v>
      </c>
      <c r="D23" s="23" t="s">
        <v>7</v>
      </c>
      <c r="E23" s="33">
        <v>5.3962048947430782E-3</v>
      </c>
      <c r="F23" s="33">
        <v>2.8311161526993834E-3</v>
      </c>
      <c r="G23" s="28">
        <v>4</v>
      </c>
      <c r="H23" s="37">
        <v>9.3243919175106922E-28</v>
      </c>
      <c r="I23" s="37">
        <v>3.8380873502653143E-18</v>
      </c>
      <c r="J23" s="33">
        <v>7.7534656313352959E-3</v>
      </c>
      <c r="K23" s="33">
        <v>3.0803376165248141E-3</v>
      </c>
      <c r="L23" s="28">
        <v>3.99</v>
      </c>
      <c r="M23" s="37">
        <v>7.0823586351533686E-38</v>
      </c>
      <c r="N23" s="37">
        <v>3.9559116088995575E-18</v>
      </c>
      <c r="O23" s="33">
        <v>8.2321610445467239E-3</v>
      </c>
      <c r="P23" s="33">
        <v>2.809707293628597E-3</v>
      </c>
      <c r="Q23" s="28">
        <v>4</v>
      </c>
      <c r="R23" s="37">
        <v>3.2498250560409423E-42</v>
      </c>
      <c r="S23" s="37">
        <v>3.8380873502653143E-18</v>
      </c>
      <c r="V23" s="22">
        <v>0</v>
      </c>
      <c r="W23" s="23" t="s">
        <v>7</v>
      </c>
      <c r="X23" s="29">
        <f>AVERAGE(X2,X6,X10,X14)</f>
        <v>3.4702083333333333</v>
      </c>
    </row>
    <row r="24" spans="1:24" x14ac:dyDescent="0.25">
      <c r="A24" s="9"/>
      <c r="B24" s="2"/>
      <c r="C24" s="24">
        <v>0.1</v>
      </c>
      <c r="D24" s="25" t="s">
        <v>7</v>
      </c>
      <c r="E24" s="33">
        <v>2.1154102333763684E-3</v>
      </c>
      <c r="F24" s="33">
        <v>8.2545249573079892E-4</v>
      </c>
      <c r="G24" s="28">
        <v>2.085</v>
      </c>
      <c r="H24" s="37">
        <v>0.31371428916250044</v>
      </c>
      <c r="I24" s="37">
        <v>0.22028794733290477</v>
      </c>
      <c r="J24" s="33">
        <v>2.9758029206275621E-3</v>
      </c>
      <c r="K24" s="33">
        <v>9.2196563927458657E-4</v>
      </c>
      <c r="L24" s="28">
        <v>2.165</v>
      </c>
      <c r="M24" s="37">
        <v>7.9045073732876017E-2</v>
      </c>
      <c r="N24" s="37">
        <v>5.657873917776339E-2</v>
      </c>
      <c r="O24" s="33">
        <v>3.0611839210395188E-3</v>
      </c>
      <c r="P24" s="33">
        <v>8.3340402735472357E-4</v>
      </c>
      <c r="Q24" s="28">
        <v>2.1749999999999998</v>
      </c>
      <c r="R24" s="37">
        <v>0.19310693515314384</v>
      </c>
      <c r="S24" s="37">
        <v>0.14440859283181035</v>
      </c>
      <c r="V24" s="24">
        <v>0.1</v>
      </c>
      <c r="W24" s="25" t="s">
        <v>7</v>
      </c>
      <c r="X24" s="30">
        <f t="shared" ref="X24:X26" si="4">AVERAGE(X3,X7,X11,X15)</f>
        <v>2.2072916666666669</v>
      </c>
    </row>
    <row r="25" spans="1:24" x14ac:dyDescent="0.25">
      <c r="A25" s="11"/>
      <c r="B25" s="2"/>
      <c r="C25" s="24">
        <v>0.2</v>
      </c>
      <c r="D25" s="25" t="s">
        <v>7</v>
      </c>
      <c r="E25" s="33">
        <v>2.1250796882157376E-3</v>
      </c>
      <c r="F25" s="33">
        <v>8.6966818615738333E-4</v>
      </c>
      <c r="G25" s="28">
        <v>1.99</v>
      </c>
      <c r="H25" s="37">
        <v>0.19067415966303081</v>
      </c>
      <c r="I25" s="37">
        <v>0.40246211767328371</v>
      </c>
      <c r="J25" s="33">
        <v>2.9136207366491753E-3</v>
      </c>
      <c r="K25" s="33">
        <v>9.5162387310229236E-4</v>
      </c>
      <c r="L25" s="28">
        <v>1.885</v>
      </c>
      <c r="M25" s="37" t="s">
        <v>17</v>
      </c>
      <c r="N25" s="37" t="s">
        <v>17</v>
      </c>
      <c r="O25" s="33">
        <v>3.003140387284697E-3</v>
      </c>
      <c r="P25" s="33">
        <v>8.3666794426406085E-4</v>
      </c>
      <c r="Q25" s="28">
        <v>1.835</v>
      </c>
      <c r="R25" s="37" t="s">
        <v>17</v>
      </c>
      <c r="S25" s="37" t="s">
        <v>17</v>
      </c>
      <c r="V25" s="24">
        <v>0.2</v>
      </c>
      <c r="W25" s="25" t="s">
        <v>7</v>
      </c>
      <c r="X25" s="30">
        <f t="shared" si="4"/>
        <v>2.0964583333333335</v>
      </c>
    </row>
    <row r="26" spans="1:24" x14ac:dyDescent="0.25">
      <c r="A26" s="11"/>
      <c r="B26" s="10"/>
      <c r="C26" s="26">
        <v>0.3</v>
      </c>
      <c r="D26" s="13" t="s">
        <v>7</v>
      </c>
      <c r="E26" s="33">
        <v>2.0883527226319733E-3</v>
      </c>
      <c r="F26" s="33">
        <v>8.2921252453182972E-4</v>
      </c>
      <c r="G26" s="28">
        <v>1.925</v>
      </c>
      <c r="H26" s="37" t="s">
        <v>17</v>
      </c>
      <c r="I26" s="37" t="s">
        <v>17</v>
      </c>
      <c r="J26" s="33">
        <v>2.9457648056859433E-3</v>
      </c>
      <c r="K26" s="33">
        <v>9.7673541967931241E-4</v>
      </c>
      <c r="L26" s="28">
        <v>1.96</v>
      </c>
      <c r="M26" s="37">
        <v>0.37117343704923395</v>
      </c>
      <c r="N26" s="37">
        <v>0.36858770942840491</v>
      </c>
      <c r="O26" s="33">
        <v>3.037554259555104E-3</v>
      </c>
      <c r="P26" s="33">
        <v>8.4620387868662272E-4</v>
      </c>
      <c r="Q26" s="28">
        <v>1.99</v>
      </c>
      <c r="R26" s="37">
        <v>0.39799365872995962</v>
      </c>
      <c r="S26" s="37">
        <v>0.34526155184605667</v>
      </c>
      <c r="V26" s="26">
        <v>0.3</v>
      </c>
      <c r="W26" s="13" t="s">
        <v>7</v>
      </c>
      <c r="X26" s="31">
        <f t="shared" si="4"/>
        <v>2.2260416666666667</v>
      </c>
    </row>
    <row r="27" spans="1:24" x14ac:dyDescent="0.25">
      <c r="A27" s="8" t="s">
        <v>14</v>
      </c>
      <c r="B27" s="1" t="s">
        <v>13</v>
      </c>
      <c r="C27" s="22">
        <v>0</v>
      </c>
      <c r="D27" s="23" t="s">
        <v>7</v>
      </c>
      <c r="E27" s="33">
        <v>3.1846491414673009E-2</v>
      </c>
      <c r="F27" s="33">
        <v>1.9530056341836872E-3</v>
      </c>
      <c r="G27" s="28">
        <v>4</v>
      </c>
      <c r="H27" s="37">
        <v>1.7908853408182064E-110</v>
      </c>
      <c r="I27" s="37">
        <v>3.8380873502653143E-18</v>
      </c>
      <c r="J27" s="33">
        <v>3.1064591038126435E-2</v>
      </c>
      <c r="K27" s="33">
        <v>2.9353610644601187E-3</v>
      </c>
      <c r="L27" s="28">
        <v>4</v>
      </c>
      <c r="M27" s="37">
        <v>1.2080876100060311E-97</v>
      </c>
      <c r="N27" s="37">
        <v>3.8380873502653143E-18</v>
      </c>
      <c r="O27" s="33">
        <v>3.1767852034933639E-2</v>
      </c>
      <c r="P27" s="33">
        <v>1.9683310916638634E-3</v>
      </c>
      <c r="Q27" s="28">
        <v>4</v>
      </c>
      <c r="R27" s="37">
        <v>1.6010929406371817E-115</v>
      </c>
      <c r="S27" s="37">
        <v>3.8380873502653143E-18</v>
      </c>
    </row>
    <row r="28" spans="1:24" x14ac:dyDescent="0.25">
      <c r="A28" s="9"/>
      <c r="B28" s="2"/>
      <c r="C28" s="24">
        <v>0.1</v>
      </c>
      <c r="D28" s="25" t="s">
        <v>7</v>
      </c>
      <c r="E28" s="33">
        <v>7.7284490060008917E-3</v>
      </c>
      <c r="F28" s="33">
        <v>7.762561630136666E-4</v>
      </c>
      <c r="G28" s="28">
        <v>2.3050000000000002</v>
      </c>
      <c r="H28" s="37">
        <v>2.0888122248155641E-4</v>
      </c>
      <c r="I28" s="37">
        <v>6.5073685483041605E-5</v>
      </c>
      <c r="J28" s="33">
        <v>7.8233330047755446E-3</v>
      </c>
      <c r="K28" s="33">
        <v>9.4721733426127023E-4</v>
      </c>
      <c r="L28" s="28">
        <v>2.2999999999999998</v>
      </c>
      <c r="M28" s="37">
        <v>5.6444532627187024E-6</v>
      </c>
      <c r="N28" s="37">
        <v>3.1062932386365945E-5</v>
      </c>
      <c r="O28" s="33">
        <v>8.047603553209352E-3</v>
      </c>
      <c r="P28" s="33">
        <v>7.2692819756128824E-4</v>
      </c>
      <c r="Q28" s="28">
        <v>2.42</v>
      </c>
      <c r="R28" s="37">
        <v>2.067889354422023E-7</v>
      </c>
      <c r="S28" s="37">
        <v>1.5470590130130763E-6</v>
      </c>
    </row>
    <row r="29" spans="1:24" x14ac:dyDescent="0.25">
      <c r="A29" s="9"/>
      <c r="B29" s="2"/>
      <c r="C29" s="24">
        <v>0.2</v>
      </c>
      <c r="D29" s="25" t="s">
        <v>7</v>
      </c>
      <c r="E29" s="33">
        <v>7.3698900131382548E-3</v>
      </c>
      <c r="F29" s="33">
        <v>6.6811465227034888E-4</v>
      </c>
      <c r="G29" s="28">
        <v>1.68</v>
      </c>
      <c r="H29" s="37" t="s">
        <v>17</v>
      </c>
      <c r="I29" s="37" t="s">
        <v>17</v>
      </c>
      <c r="J29" s="33">
        <v>7.3493414280918577E-3</v>
      </c>
      <c r="K29" s="33">
        <v>9.0180058922886797E-4</v>
      </c>
      <c r="L29" s="28">
        <v>1.66</v>
      </c>
      <c r="M29" s="37" t="s">
        <v>17</v>
      </c>
      <c r="N29" s="37" t="s">
        <v>17</v>
      </c>
      <c r="O29" s="33">
        <v>7.5576637258551842E-3</v>
      </c>
      <c r="P29" s="33">
        <v>7.0599051958976768E-4</v>
      </c>
      <c r="Q29" s="28">
        <v>1.7649999999999999</v>
      </c>
      <c r="R29" s="37" t="s">
        <v>17</v>
      </c>
      <c r="S29" s="37" t="s">
        <v>17</v>
      </c>
    </row>
    <row r="30" spans="1:24" x14ac:dyDescent="0.25">
      <c r="A30" s="11"/>
      <c r="B30" s="10"/>
      <c r="C30" s="26">
        <v>0.3</v>
      </c>
      <c r="D30" s="13" t="s">
        <v>7</v>
      </c>
      <c r="E30" s="33">
        <v>7.4837223620264504E-3</v>
      </c>
      <c r="F30" s="33">
        <v>5.8755248292350834E-4</v>
      </c>
      <c r="G30" s="28">
        <v>2.0150000000000001</v>
      </c>
      <c r="H30" s="37">
        <v>0.14926548405381884</v>
      </c>
      <c r="I30" s="37">
        <v>8.5898213324522396E-2</v>
      </c>
      <c r="J30" s="33">
        <v>7.4761795539142473E-3</v>
      </c>
      <c r="K30" s="33">
        <v>8.3569019999350661E-4</v>
      </c>
      <c r="L30" s="28">
        <v>2.04</v>
      </c>
      <c r="M30" s="37">
        <v>0.10849333422592183</v>
      </c>
      <c r="N30" s="37">
        <v>7.6890848734934333E-2</v>
      </c>
      <c r="O30" s="33">
        <v>7.6275616850673645E-3</v>
      </c>
      <c r="P30" s="33">
        <v>6.0732030139720088E-4</v>
      </c>
      <c r="Q30" s="28">
        <v>1.8149999999999999</v>
      </c>
      <c r="R30" s="37">
        <v>0.31252180260810197</v>
      </c>
      <c r="S30" s="37">
        <v>0.33310008651890255</v>
      </c>
    </row>
    <row r="31" spans="1:24" x14ac:dyDescent="0.25">
      <c r="A31" s="9"/>
      <c r="B31" s="1" t="s">
        <v>14</v>
      </c>
      <c r="C31" s="22">
        <v>0</v>
      </c>
      <c r="D31" s="23" t="s">
        <v>7</v>
      </c>
      <c r="E31" s="33">
        <v>1.7509823353080226E-2</v>
      </c>
      <c r="F31" s="33">
        <v>5.1480518916949634E-3</v>
      </c>
      <c r="G31" s="28">
        <v>4</v>
      </c>
      <c r="H31" s="37">
        <v>1.0054015375284716E-54</v>
      </c>
      <c r="I31" s="37">
        <v>3.8380873502653143E-18</v>
      </c>
      <c r="J31" s="33">
        <v>1.9741075479034375E-2</v>
      </c>
      <c r="K31" s="33">
        <v>4.2650017905181969E-3</v>
      </c>
      <c r="L31" s="28">
        <v>4</v>
      </c>
      <c r="M31" s="37">
        <v>4.8367702941200605E-66</v>
      </c>
      <c r="N31" s="37">
        <v>3.8380873502653143E-18</v>
      </c>
      <c r="O31" s="33">
        <v>2.137357688016963E-2</v>
      </c>
      <c r="P31" s="33">
        <v>4.9833482921738601E-3</v>
      </c>
      <c r="Q31" s="28">
        <v>3.99</v>
      </c>
      <c r="R31" s="37">
        <v>1.0144868778927885E-63</v>
      </c>
      <c r="S31" s="37">
        <v>3.8380873502653143E-18</v>
      </c>
    </row>
    <row r="32" spans="1:24" x14ac:dyDescent="0.25">
      <c r="A32" s="9"/>
      <c r="B32" s="2"/>
      <c r="C32" s="24">
        <v>0.1</v>
      </c>
      <c r="D32" s="25" t="s">
        <v>7</v>
      </c>
      <c r="E32" s="33">
        <v>3.9128007634496569E-3</v>
      </c>
      <c r="F32" s="33">
        <v>1.1872740492460112E-3</v>
      </c>
      <c r="G32" s="28">
        <v>2.44</v>
      </c>
      <c r="H32" s="37">
        <v>4.1829952751424999E-8</v>
      </c>
      <c r="I32" s="37">
        <v>2.2208060974589237E-7</v>
      </c>
      <c r="J32" s="33">
        <v>5.4860734718992455E-3</v>
      </c>
      <c r="K32" s="33">
        <v>1.3564608454014369E-3</v>
      </c>
      <c r="L32" s="28">
        <v>2.7050000000000001</v>
      </c>
      <c r="M32" s="37">
        <v>8.4628076530670607E-12</v>
      </c>
      <c r="N32" s="37">
        <v>4.071999559535337E-13</v>
      </c>
      <c r="O32" s="33">
        <v>6.0518523719873367E-3</v>
      </c>
      <c r="P32" s="33">
        <v>2.029336418200055E-3</v>
      </c>
      <c r="Q32" s="28">
        <v>2.5750000000000002</v>
      </c>
      <c r="R32" s="37">
        <v>2.8262061470743399E-8</v>
      </c>
      <c r="S32" s="37">
        <v>3.9489561905347887E-10</v>
      </c>
    </row>
    <row r="33" spans="1:19" x14ac:dyDescent="0.25">
      <c r="A33" s="11"/>
      <c r="B33" s="2"/>
      <c r="C33" s="24">
        <v>0.2</v>
      </c>
      <c r="D33" s="25" t="s">
        <v>7</v>
      </c>
      <c r="E33" s="33">
        <v>3.6921223982745114E-3</v>
      </c>
      <c r="F33" s="33">
        <v>1.1433332090902567E-3</v>
      </c>
      <c r="G33" s="28">
        <v>1.8149999999999999</v>
      </c>
      <c r="H33" s="37">
        <v>0.18390041974981086</v>
      </c>
      <c r="I33" s="37">
        <v>0.16743661890136727</v>
      </c>
      <c r="J33" s="33">
        <v>4.8631027086921685E-3</v>
      </c>
      <c r="K33" s="33">
        <v>1.1299889122840835E-3</v>
      </c>
      <c r="L33" s="28">
        <v>1.655</v>
      </c>
      <c r="M33" s="37">
        <v>0.55687251866511234</v>
      </c>
      <c r="N33" s="37">
        <v>0.43005616170295757</v>
      </c>
      <c r="O33" s="33">
        <v>5.3232229356603442E-3</v>
      </c>
      <c r="P33" s="33">
        <v>1.4748238073883978E-3</v>
      </c>
      <c r="Q33" s="28">
        <v>1.73</v>
      </c>
      <c r="R33" s="37">
        <v>0.21301080002158895</v>
      </c>
      <c r="S33" s="37">
        <v>0.6988957296826559</v>
      </c>
    </row>
    <row r="34" spans="1:19" x14ac:dyDescent="0.25">
      <c r="A34" s="12"/>
      <c r="B34" s="10"/>
      <c r="C34" s="26">
        <v>0.3</v>
      </c>
      <c r="D34" s="13" t="s">
        <v>7</v>
      </c>
      <c r="E34" s="33">
        <v>3.632595199604292E-3</v>
      </c>
      <c r="F34" s="33">
        <v>1.1187208221323957E-3</v>
      </c>
      <c r="G34" s="28">
        <v>1.7450000000000001</v>
      </c>
      <c r="H34" s="37" t="s">
        <v>17</v>
      </c>
      <c r="I34" s="37" t="s">
        <v>17</v>
      </c>
      <c r="J34" s="33">
        <v>4.8178193372766225E-3</v>
      </c>
      <c r="K34" s="33">
        <v>1.2110000411221205E-3</v>
      </c>
      <c r="L34" s="28">
        <v>1.64</v>
      </c>
      <c r="M34" s="37" t="s">
        <v>17</v>
      </c>
      <c r="N34" s="37" t="s">
        <v>17</v>
      </c>
      <c r="O34" s="33">
        <v>5.2138114002817162E-3</v>
      </c>
      <c r="P34" s="33">
        <v>1.4212195233623567E-3</v>
      </c>
      <c r="Q34" s="28">
        <v>1.7050000000000001</v>
      </c>
      <c r="R34" s="37" t="s">
        <v>17</v>
      </c>
      <c r="S34" s="3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SR</vt:lpstr>
      <vt:lpstr>MCND_MIN</vt:lpstr>
      <vt:lpstr>MCND_STD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MTomczyk</dc:creator>
  <cp:lastModifiedBy>Michał Tomczyk</cp:lastModifiedBy>
  <dcterms:modified xsi:type="dcterms:W3CDTF">2025-10-21T10:39:32Z</dcterms:modified>
</cp:coreProperties>
</file>