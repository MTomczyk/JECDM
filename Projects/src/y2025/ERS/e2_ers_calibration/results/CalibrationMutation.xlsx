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raca\Framework\JECDM\JECDM\Projects\src\y2025\ERS\e2_ers_calibration\results\"/>
    </mc:Choice>
  </mc:AlternateContent>
  <xr:revisionPtr revIDLastSave="0" documentId="13_ncr:1_{70E9829E-DC6B-4491-8EDA-0BB8A798CC5A}" xr6:coauthVersionLast="47" xr6:coauthVersionMax="47" xr10:uidLastSave="{00000000-0000-0000-0000-000000000000}"/>
  <bookViews>
    <workbookView xWindow="38280" yWindow="-120" windowWidth="29040" windowHeight="17520" activeTab="2" xr2:uid="{00000000-000D-0000-FFFF-FFFF00000000}"/>
  </bookViews>
  <sheets>
    <sheet name="SR" sheetId="8" r:id="rId1"/>
    <sheet name="MCND_MIN" sheetId="9" r:id="rId2"/>
    <sheet name="MCND_STD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7" i="10" l="1"/>
  <c r="X16" i="10"/>
  <c r="X15" i="10"/>
  <c r="X14" i="10"/>
  <c r="X13" i="10"/>
  <c r="X12" i="10"/>
  <c r="X11" i="10"/>
  <c r="X10" i="10"/>
  <c r="X9" i="10"/>
  <c r="X8" i="10"/>
  <c r="X7" i="10"/>
  <c r="X6" i="10"/>
  <c r="X5" i="10"/>
  <c r="X4" i="10"/>
  <c r="X3" i="10"/>
  <c r="X2" i="10"/>
  <c r="X17" i="9"/>
  <c r="X16" i="9"/>
  <c r="X15" i="9"/>
  <c r="X14" i="9"/>
  <c r="X13" i="9"/>
  <c r="X12" i="9"/>
  <c r="X11" i="9"/>
  <c r="X10" i="9"/>
  <c r="X9" i="9"/>
  <c r="X8" i="9"/>
  <c r="X7" i="9"/>
  <c r="X6" i="9"/>
  <c r="X5" i="9"/>
  <c r="X4" i="9"/>
  <c r="X3" i="9"/>
  <c r="X2" i="9"/>
  <c r="X15" i="8"/>
  <c r="X16" i="8"/>
  <c r="X17" i="8"/>
  <c r="X14" i="8"/>
  <c r="X11" i="8"/>
  <c r="X12" i="8"/>
  <c r="X13" i="8"/>
  <c r="X10" i="8"/>
  <c r="X7" i="8"/>
  <c r="X8" i="8"/>
  <c r="X9" i="8"/>
  <c r="X6" i="8"/>
  <c r="X3" i="8"/>
  <c r="X4" i="8"/>
  <c r="X5" i="8"/>
  <c r="X2" i="8"/>
  <c r="X26" i="10" l="1"/>
  <c r="X25" i="10"/>
  <c r="X26" i="9"/>
  <c r="X23" i="8"/>
  <c r="X24" i="8"/>
  <c r="X25" i="8"/>
  <c r="X26" i="8"/>
  <c r="X24" i="10"/>
  <c r="X23" i="10"/>
  <c r="X25" i="9"/>
  <c r="X23" i="9"/>
  <c r="X24" i="9"/>
</calcChain>
</file>

<file path=xl/sharedStrings.xml><?xml version="1.0" encoding="utf-8"?>
<sst xmlns="http://schemas.openxmlformats.org/spreadsheetml/2006/main" count="319" uniqueCount="18">
  <si>
    <t>$H$</t>
  </si>
  <si>
    <t>$l$</t>
  </si>
  <si>
    <t>$std$</t>
  </si>
  <si>
    <t>$M$</t>
  </si>
  <si>
    <t>Mean</t>
  </si>
  <si>
    <t>StD</t>
  </si>
  <si>
    <t>$\overline{R}$</t>
  </si>
  <si>
    <t>D</t>
  </si>
  <si>
    <t>$\infty$</t>
  </si>
  <si>
    <t>$\alpha$</t>
  </si>
  <si>
    <t>$2$</t>
  </si>
  <si>
    <t>$3$</t>
  </si>
  <si>
    <t>$4$</t>
  </si>
  <si>
    <t>$1$</t>
  </si>
  <si>
    <t>$5$</t>
  </si>
  <si>
    <t>T</t>
  </si>
  <si>
    <t>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</si>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</sst>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10" xfId="0" applyBorder="1"/>
    <xf numFmtId="0" fontId="0" fillId="3" borderId="9" xfId="0" applyFill="1" applyBorder="1"/>
    <xf numFmtId="0" fontId="0" fillId="3" borderId="10" xfId="0" applyFill="1" applyBorder="1"/>
    <xf numFmtId="0" fontId="0" fillId="3" borderId="7" xfId="0" applyFill="1" applyBorder="1" applyAlignment="1">
      <alignment horizontal="right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2" fontId="0" fillId="3" borderId="3" xfId="0" applyNumberFormat="1" applyFill="1" applyBorder="1"/>
    <xf numFmtId="2" fontId="0" fillId="3" borderId="5" xfId="0" applyNumberFormat="1" applyFill="1" applyBorder="1"/>
    <xf numFmtId="2" fontId="0" fillId="3" borderId="7" xfId="0" applyNumberFormat="1" applyFill="1" applyBorder="1"/>
    <xf numFmtId="2" fontId="0" fillId="0" borderId="0" xfId="0" applyNumberFormat="1"/>
    <xf numFmtId="10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2" fontId="0" fillId="3" borderId="8" xfId="0" applyNumberFormat="1" applyFill="1" applyBorder="1"/>
    <xf numFmtId="2" fontId="0" fillId="3" borderId="9" xfId="0" applyNumberFormat="1" applyFill="1" applyBorder="1"/>
    <xf numFmtId="2" fontId="0" fillId="3" borderId="10" xfId="0" applyNumberFormat="1" applyFill="1" applyBorder="1"/>
    <xf numFmtId="0" fontId="0" fillId="3" borderId="9" xfId="0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9DB2-F00D-4ABA-859A-DEC60CD16F32}">
  <dimension ref="A1:X38"/>
  <sheetViews>
    <sheetView zoomScale="115" zoomScaleNormal="115" workbookViewId="0">
      <selection activeCell="H3" sqref="H3:I3"/>
    </sheetView>
  </sheetViews>
  <sheetFormatPr defaultRowHeight="15" x14ac:dyDescent="0.25"/>
  <sheetData>
    <row r="1" spans="1:24" x14ac:dyDescent="0.25">
      <c r="A1" s="19" t="s">
        <v>9</v>
      </c>
      <c r="B1" s="20"/>
      <c r="C1" s="20"/>
      <c r="D1" s="20"/>
      <c r="E1" s="20" t="s">
        <v>13</v>
      </c>
      <c r="F1" s="20"/>
      <c r="G1" s="20"/>
      <c r="H1" s="20"/>
      <c r="I1" s="20"/>
      <c r="J1" s="20" t="s">
        <v>14</v>
      </c>
      <c r="K1" s="20"/>
      <c r="L1" s="20"/>
      <c r="M1" s="20"/>
      <c r="N1" s="20"/>
      <c r="O1" s="20" t="s">
        <v>8</v>
      </c>
      <c r="P1" s="20"/>
      <c r="Q1" s="20"/>
      <c r="R1" s="20"/>
      <c r="S1" s="21"/>
      <c r="U1" s="12" t="s">
        <v>3</v>
      </c>
      <c r="V1" s="12" t="s">
        <v>1</v>
      </c>
      <c r="W1" s="12" t="s">
        <v>2</v>
      </c>
      <c r="X1" s="12" t="s">
        <v>6</v>
      </c>
    </row>
    <row r="2" spans="1:24" x14ac:dyDescent="0.25">
      <c r="A2" s="8" t="s">
        <v>3</v>
      </c>
      <c r="B2" s="8" t="s">
        <v>0</v>
      </c>
      <c r="C2" s="8" t="s">
        <v>1</v>
      </c>
      <c r="D2" s="8" t="s">
        <v>2</v>
      </c>
      <c r="E2" s="8" t="s">
        <v>4</v>
      </c>
      <c r="F2" s="8" t="s">
        <v>5</v>
      </c>
      <c r="G2" s="8" t="s">
        <v>6</v>
      </c>
      <c r="H2" s="8" t="s">
        <v>15</v>
      </c>
      <c r="I2" s="8" t="s">
        <v>16</v>
      </c>
      <c r="J2" s="8" t="s">
        <v>4</v>
      </c>
      <c r="K2" s="8" t="s">
        <v>5</v>
      </c>
      <c r="L2" s="8" t="s">
        <v>6</v>
      </c>
      <c r="M2" s="39" t="s">
        <v>15</v>
      </c>
      <c r="N2" s="39" t="s">
        <v>16</v>
      </c>
      <c r="O2" s="8" t="s">
        <v>4</v>
      </c>
      <c r="P2" s="8" t="s">
        <v>5</v>
      </c>
      <c r="Q2" s="8" t="s">
        <v>6</v>
      </c>
      <c r="R2" s="36" t="s">
        <v>15</v>
      </c>
      <c r="S2" s="36" t="s">
        <v>16</v>
      </c>
      <c r="U2" s="9" t="s">
        <v>10</v>
      </c>
      <c r="V2" s="1">
        <v>0.2</v>
      </c>
      <c r="W2" s="2">
        <v>0</v>
      </c>
      <c r="X2" s="22">
        <f>AVERAGE(G3,G7,L3,L7,Q3,Q7)</f>
        <v>1.6466666666666667</v>
      </c>
    </row>
    <row r="3" spans="1:24" x14ac:dyDescent="0.25">
      <c r="A3" s="13" t="s">
        <v>10</v>
      </c>
      <c r="B3" s="6" t="s">
        <v>13</v>
      </c>
      <c r="C3" s="1">
        <v>0.2</v>
      </c>
      <c r="D3" s="2">
        <v>0</v>
      </c>
      <c r="E3" s="26">
        <v>0.9626834331337325</v>
      </c>
      <c r="F3" s="26">
        <v>7.3794045020613725E-3</v>
      </c>
      <c r="G3" s="27">
        <v>2.0699999999999998</v>
      </c>
      <c r="H3" s="38" t="s">
        <v>17</v>
      </c>
      <c r="I3" s="38" t="s">
        <v>17</v>
      </c>
      <c r="J3" s="26">
        <v>0.97725489021956102</v>
      </c>
      <c r="K3" s="26">
        <v>8.0322553240513173E-3</v>
      </c>
      <c r="L3" s="27">
        <v>2.16</v>
      </c>
      <c r="M3" s="38" t="s">
        <v>17</v>
      </c>
      <c r="N3" s="38" t="s">
        <v>17</v>
      </c>
      <c r="O3" s="26">
        <v>0.97688323353293371</v>
      </c>
      <c r="P3" s="26">
        <v>8.1033589395097163E-3</v>
      </c>
      <c r="Q3" s="27">
        <v>1.97</v>
      </c>
      <c r="R3" s="38" t="s">
        <v>17</v>
      </c>
      <c r="S3" s="38" t="s">
        <v>17</v>
      </c>
      <c r="U3" s="10"/>
      <c r="V3" s="3">
        <v>0.2</v>
      </c>
      <c r="W3" s="4">
        <v>0.1</v>
      </c>
      <c r="X3" s="23">
        <f>AVERAGE(G4,G8,L4,L8,Q4,Q8)</f>
        <v>2.4750000000000001</v>
      </c>
    </row>
    <row r="4" spans="1:24" x14ac:dyDescent="0.25">
      <c r="A4" s="14"/>
      <c r="B4" s="7"/>
      <c r="C4" s="3">
        <v>0.2</v>
      </c>
      <c r="D4" s="4">
        <v>0.1</v>
      </c>
      <c r="E4" s="26">
        <v>0.95927375249501001</v>
      </c>
      <c r="F4" s="26">
        <v>8.727246973083724E-3</v>
      </c>
      <c r="G4" s="27">
        <v>2.64</v>
      </c>
      <c r="H4" s="37">
        <v>3.3588247525929769E-3</v>
      </c>
      <c r="I4" s="37">
        <v>2.2899827381861184E-3</v>
      </c>
      <c r="J4" s="26">
        <v>0.9752687624750499</v>
      </c>
      <c r="K4" s="26">
        <v>9.0279201337902949E-3</v>
      </c>
      <c r="L4" s="27">
        <v>2.41</v>
      </c>
      <c r="M4" s="37">
        <v>2.0065727129481574E-3</v>
      </c>
      <c r="N4" s="37">
        <v>3.6080249365923458E-3</v>
      </c>
      <c r="O4" s="26">
        <v>0.97516796407185624</v>
      </c>
      <c r="P4" s="26">
        <v>8.2180780586700326E-3</v>
      </c>
      <c r="Q4" s="27">
        <v>2.4300000000000002</v>
      </c>
      <c r="R4" s="37">
        <v>7.6057438678087336E-3</v>
      </c>
      <c r="S4" s="37">
        <v>5.2675392058030637E-3</v>
      </c>
      <c r="U4" s="10"/>
      <c r="V4" s="3">
        <v>0.2</v>
      </c>
      <c r="W4" s="4">
        <v>0.2</v>
      </c>
      <c r="X4" s="23">
        <f>AVERAGE(G5,G9,L5,L9,Q5,Q9)</f>
        <v>3.4350000000000001</v>
      </c>
    </row>
    <row r="5" spans="1:24" x14ac:dyDescent="0.25">
      <c r="A5" s="14"/>
      <c r="B5" s="7"/>
      <c r="C5" s="3">
        <v>0.2</v>
      </c>
      <c r="D5" s="4">
        <v>0.2</v>
      </c>
      <c r="E5" s="26">
        <v>0.9564803393213569</v>
      </c>
      <c r="F5" s="26">
        <v>9.0287319164339842E-3</v>
      </c>
      <c r="G5" s="27">
        <v>3.09</v>
      </c>
      <c r="H5" s="37">
        <v>5.1791541572021851E-8</v>
      </c>
      <c r="I5" s="37">
        <v>1.6207309701947057E-7</v>
      </c>
      <c r="J5" s="26">
        <v>0.9731330339321359</v>
      </c>
      <c r="K5" s="26">
        <v>1.1362682472557353E-2</v>
      </c>
      <c r="L5" s="27">
        <v>2.94</v>
      </c>
      <c r="M5" s="37">
        <v>3.4219059160376562E-6</v>
      </c>
      <c r="N5" s="37">
        <v>1.9968567202645887E-5</v>
      </c>
      <c r="O5" s="26">
        <v>0.97274540918163632</v>
      </c>
      <c r="P5" s="26">
        <v>1.0558971142425358E-2</v>
      </c>
      <c r="Q5" s="27">
        <v>3.05</v>
      </c>
      <c r="R5" s="37">
        <v>8.4896362919062919E-8</v>
      </c>
      <c r="S5" s="37">
        <v>1.3072362460785335E-7</v>
      </c>
      <c r="U5" s="11"/>
      <c r="V5" s="5">
        <v>0.2</v>
      </c>
      <c r="W5" s="18" t="s">
        <v>7</v>
      </c>
      <c r="X5" s="24">
        <f>AVERAGE(G6,G10,L6,L10,Q6,Q10)</f>
        <v>2.4433333333333334</v>
      </c>
    </row>
    <row r="6" spans="1:24" x14ac:dyDescent="0.25">
      <c r="A6" s="16"/>
      <c r="B6" s="15"/>
      <c r="C6" s="5">
        <v>0.2</v>
      </c>
      <c r="D6" s="18" t="s">
        <v>7</v>
      </c>
      <c r="E6" s="26">
        <v>0.96133253493013948</v>
      </c>
      <c r="F6" s="26">
        <v>7.9028809316166286E-3</v>
      </c>
      <c r="G6" s="27">
        <v>2.2000000000000002</v>
      </c>
      <c r="H6" s="37">
        <v>0.24386949990323148</v>
      </c>
      <c r="I6" s="37">
        <v>0.25293770922105913</v>
      </c>
      <c r="J6" s="26">
        <v>0.97532684630738575</v>
      </c>
      <c r="K6" s="26">
        <v>9.0933509252075339E-3</v>
      </c>
      <c r="L6" s="27">
        <v>2.4900000000000002</v>
      </c>
      <c r="M6" s="37">
        <v>7.0894714116744202E-3</v>
      </c>
      <c r="N6" s="37">
        <v>1.0369102729498597E-2</v>
      </c>
      <c r="O6" s="26">
        <v>0.97507794411177617</v>
      </c>
      <c r="P6" s="26">
        <v>8.4970112776852381E-3</v>
      </c>
      <c r="Q6" s="27">
        <v>2.5499999999999998</v>
      </c>
      <c r="R6" s="37">
        <v>7.6463122232896105E-3</v>
      </c>
      <c r="S6" s="37">
        <v>4.296522830195923E-3</v>
      </c>
      <c r="U6" s="9" t="s">
        <v>11</v>
      </c>
      <c r="V6" s="1">
        <v>0.2</v>
      </c>
      <c r="W6" s="2">
        <v>0</v>
      </c>
      <c r="X6" s="22">
        <f>AVERAGE(G11,G15,L11,L15,Q11,Q15)</f>
        <v>1.4874999999999998</v>
      </c>
    </row>
    <row r="7" spans="1:24" x14ac:dyDescent="0.25">
      <c r="A7" s="14"/>
      <c r="B7" s="6" t="s">
        <v>14</v>
      </c>
      <c r="C7" s="1">
        <v>0.2</v>
      </c>
      <c r="D7" s="2">
        <v>0</v>
      </c>
      <c r="E7" s="26">
        <v>0.93881946107784442</v>
      </c>
      <c r="F7" s="26">
        <v>2.4073362445067775E-2</v>
      </c>
      <c r="G7" s="27">
        <v>1.23</v>
      </c>
      <c r="H7" s="38" t="s">
        <v>17</v>
      </c>
      <c r="I7" s="38" t="s">
        <v>17</v>
      </c>
      <c r="J7" s="26">
        <v>0.92681187624750505</v>
      </c>
      <c r="K7" s="26">
        <v>1.7812604275268602E-2</v>
      </c>
      <c r="L7" s="27">
        <v>1.29</v>
      </c>
      <c r="M7" s="38" t="s">
        <v>17</v>
      </c>
      <c r="N7" s="38" t="s">
        <v>17</v>
      </c>
      <c r="O7" s="26">
        <v>0.93632045908183625</v>
      </c>
      <c r="P7" s="26">
        <v>2.097815803814753E-2</v>
      </c>
      <c r="Q7" s="27">
        <v>1.1599999999999999</v>
      </c>
      <c r="R7" s="38" t="s">
        <v>17</v>
      </c>
      <c r="S7" s="38" t="s">
        <v>17</v>
      </c>
      <c r="U7" s="10"/>
      <c r="V7" s="3">
        <v>0.2</v>
      </c>
      <c r="W7" s="4">
        <v>0.1</v>
      </c>
      <c r="X7" s="23">
        <f>AVERAGE(G12,G16,L12,L16,Q12,Q16)</f>
        <v>2.7300000000000004</v>
      </c>
    </row>
    <row r="8" spans="1:24" x14ac:dyDescent="0.25">
      <c r="A8" s="14"/>
      <c r="B8" s="7"/>
      <c r="C8" s="3">
        <v>0.2</v>
      </c>
      <c r="D8" s="4">
        <v>0.1</v>
      </c>
      <c r="E8" s="26">
        <v>0.85677325349301436</v>
      </c>
      <c r="F8" s="26">
        <v>0.14601105853347299</v>
      </c>
      <c r="G8" s="27">
        <v>2.4700000000000002</v>
      </c>
      <c r="H8" s="37">
        <v>1.600770780379572E-8</v>
      </c>
      <c r="I8" s="37">
        <v>2.4381307168572881E-15</v>
      </c>
      <c r="J8" s="26">
        <v>0.83049071856287437</v>
      </c>
      <c r="K8" s="26">
        <v>0.12530697188721815</v>
      </c>
      <c r="L8" s="27">
        <v>2.33</v>
      </c>
      <c r="M8" s="37">
        <v>1.9036623743347422E-12</v>
      </c>
      <c r="N8" s="37">
        <v>1.2880461792970774E-14</v>
      </c>
      <c r="O8" s="26">
        <v>0.86065299401197626</v>
      </c>
      <c r="P8" s="26">
        <v>0.11358627502535665</v>
      </c>
      <c r="Q8" s="27">
        <v>2.57</v>
      </c>
      <c r="R8" s="37">
        <v>6.4585865555725427E-11</v>
      </c>
      <c r="S8" s="37">
        <v>1.3132815175954596E-17</v>
      </c>
      <c r="U8" s="10"/>
      <c r="V8" s="3">
        <v>0.2</v>
      </c>
      <c r="W8" s="4">
        <v>0.2</v>
      </c>
      <c r="X8" s="23">
        <f>AVERAGE(G13,G17,L13,L17,Q13,Q17)</f>
        <v>3.6516666666666668</v>
      </c>
    </row>
    <row r="9" spans="1:24" x14ac:dyDescent="0.25">
      <c r="A9" s="16"/>
      <c r="B9" s="7"/>
      <c r="C9" s="3">
        <v>0.2</v>
      </c>
      <c r="D9" s="4">
        <v>0.2</v>
      </c>
      <c r="E9" s="26">
        <v>0.7967524950099798</v>
      </c>
      <c r="F9" s="26">
        <v>0.20807391432339348</v>
      </c>
      <c r="G9" s="27">
        <v>3.76</v>
      </c>
      <c r="H9" s="37">
        <v>6.8956503487858657E-11</v>
      </c>
      <c r="I9" s="37">
        <v>9.7463163982055158E-18</v>
      </c>
      <c r="J9" s="26">
        <v>0.74847455089820358</v>
      </c>
      <c r="K9" s="26">
        <v>0.19955106759341065</v>
      </c>
      <c r="L9" s="27">
        <v>3.87</v>
      </c>
      <c r="M9" s="37">
        <v>6.0537680391844931E-15</v>
      </c>
      <c r="N9" s="37">
        <v>5.0363722610573444E-18</v>
      </c>
      <c r="O9" s="26">
        <v>0.79888333333333317</v>
      </c>
      <c r="P9" s="26">
        <v>0.17962122753982246</v>
      </c>
      <c r="Q9" s="27">
        <v>3.9</v>
      </c>
      <c r="R9" s="37">
        <v>1.573407304706598E-12</v>
      </c>
      <c r="S9" s="37">
        <v>3.9559116088995575E-18</v>
      </c>
      <c r="U9" s="11"/>
      <c r="V9" s="5">
        <v>0.2</v>
      </c>
      <c r="W9" s="18" t="s">
        <v>7</v>
      </c>
      <c r="X9" s="24">
        <f>AVERAGE(G14,G18,L14,L18,Q14,Q18)</f>
        <v>2.1308333333333334</v>
      </c>
    </row>
    <row r="10" spans="1:24" x14ac:dyDescent="0.25">
      <c r="A10" s="16"/>
      <c r="B10" s="15"/>
      <c r="C10" s="5">
        <v>0.2</v>
      </c>
      <c r="D10" s="18" t="s">
        <v>7</v>
      </c>
      <c r="E10" s="26">
        <v>0.85474690618762528</v>
      </c>
      <c r="F10" s="26">
        <v>0.14502238402819856</v>
      </c>
      <c r="G10" s="27">
        <v>2.54</v>
      </c>
      <c r="H10" s="37">
        <v>5.8313491897743187E-9</v>
      </c>
      <c r="I10" s="37">
        <v>3.0539014896670334E-16</v>
      </c>
      <c r="J10" s="26">
        <v>0.82937155688622766</v>
      </c>
      <c r="K10" s="26">
        <v>0.12562660955379115</v>
      </c>
      <c r="L10" s="27">
        <v>2.5099999999999998</v>
      </c>
      <c r="M10" s="37">
        <v>1.2771810075078767E-12</v>
      </c>
      <c r="N10" s="37">
        <v>3.2329823402022758E-16</v>
      </c>
      <c r="O10" s="26">
        <v>0.86268043912175651</v>
      </c>
      <c r="P10" s="26">
        <v>0.11439130552538385</v>
      </c>
      <c r="Q10" s="27">
        <v>2.37</v>
      </c>
      <c r="R10" s="37">
        <v>2.5417748725766361E-10</v>
      </c>
      <c r="S10" s="37">
        <v>3.2793460288037541E-16</v>
      </c>
      <c r="U10" s="9" t="s">
        <v>12</v>
      </c>
      <c r="V10" s="1">
        <v>0.2</v>
      </c>
      <c r="W10" s="2">
        <v>0</v>
      </c>
      <c r="X10" s="22">
        <f>AVERAGE(G19,G23,L19,L23,Q19,Q23)</f>
        <v>1.2841666666666667</v>
      </c>
    </row>
    <row r="11" spans="1:24" x14ac:dyDescent="0.25">
      <c r="A11" s="13" t="s">
        <v>11</v>
      </c>
      <c r="B11" s="6" t="s">
        <v>13</v>
      </c>
      <c r="C11" s="1">
        <v>0.2</v>
      </c>
      <c r="D11" s="2">
        <v>0</v>
      </c>
      <c r="E11" s="26">
        <v>0.94692654690618738</v>
      </c>
      <c r="F11" s="26">
        <v>1.1398968093299528E-2</v>
      </c>
      <c r="G11" s="27">
        <v>1.63</v>
      </c>
      <c r="H11" s="38" t="s">
        <v>17</v>
      </c>
      <c r="I11" s="38" t="s">
        <v>17</v>
      </c>
      <c r="J11" s="26">
        <v>0.96245459081836315</v>
      </c>
      <c r="K11" s="26">
        <v>1.6709951490083436E-2</v>
      </c>
      <c r="L11" s="27">
        <v>1.845</v>
      </c>
      <c r="M11" s="38" t="s">
        <v>17</v>
      </c>
      <c r="N11" s="38" t="s">
        <v>17</v>
      </c>
      <c r="O11" s="26">
        <v>0.95407355289421181</v>
      </c>
      <c r="P11" s="26">
        <v>1.1267587446141548E-2</v>
      </c>
      <c r="Q11" s="27">
        <v>1.72</v>
      </c>
      <c r="R11" s="38" t="s">
        <v>17</v>
      </c>
      <c r="S11" s="38" t="s">
        <v>17</v>
      </c>
      <c r="U11" s="10"/>
      <c r="V11" s="3">
        <v>0.2</v>
      </c>
      <c r="W11" s="4">
        <v>0.1</v>
      </c>
      <c r="X11" s="23">
        <f>AVERAGE(G20,G24,L20,L24,Q20,Q24)</f>
        <v>2.9483333333333337</v>
      </c>
    </row>
    <row r="12" spans="1:24" x14ac:dyDescent="0.25">
      <c r="A12" s="14"/>
      <c r="B12" s="7"/>
      <c r="C12" s="3">
        <v>0.2</v>
      </c>
      <c r="D12" s="4">
        <v>0.1</v>
      </c>
      <c r="E12" s="26">
        <v>0.93982644710578878</v>
      </c>
      <c r="F12" s="26">
        <v>1.3711260380764614E-2</v>
      </c>
      <c r="G12" s="27">
        <v>2.75</v>
      </c>
      <c r="H12" s="37">
        <v>4.9840036899008618E-14</v>
      </c>
      <c r="I12" s="37">
        <v>5.8388796843052282E-12</v>
      </c>
      <c r="J12" s="26">
        <v>0.95914720558882227</v>
      </c>
      <c r="K12" s="26">
        <v>1.7404032156078744E-2</v>
      </c>
      <c r="L12" s="27">
        <v>2.42</v>
      </c>
      <c r="M12" s="37">
        <v>6.6937532723958384E-5</v>
      </c>
      <c r="N12" s="37">
        <v>3.3741972394639765E-5</v>
      </c>
      <c r="O12" s="26">
        <v>0.94937744510978062</v>
      </c>
      <c r="P12" s="26">
        <v>1.4291375686296343E-2</v>
      </c>
      <c r="Q12" s="27">
        <v>2.6</v>
      </c>
      <c r="R12" s="37">
        <v>8.2944577875786096E-8</v>
      </c>
      <c r="S12" s="37">
        <v>4.1659492653298233E-7</v>
      </c>
      <c r="U12" s="10"/>
      <c r="V12" s="3">
        <v>0.2</v>
      </c>
      <c r="W12" s="4">
        <v>0.2</v>
      </c>
      <c r="X12" s="23">
        <f>AVERAGE(G21,G25,L21,L25,Q21,Q25)</f>
        <v>3.6575000000000002</v>
      </c>
    </row>
    <row r="13" spans="1:24" x14ac:dyDescent="0.25">
      <c r="A13" s="14"/>
      <c r="B13" s="7"/>
      <c r="C13" s="3">
        <v>0.2</v>
      </c>
      <c r="D13" s="4">
        <v>0.2</v>
      </c>
      <c r="E13" s="26">
        <v>0.93282115768463059</v>
      </c>
      <c r="F13" s="26">
        <v>1.7425437278387274E-2</v>
      </c>
      <c r="G13" s="27">
        <v>3.5</v>
      </c>
      <c r="H13" s="37">
        <v>9.6701988828130456E-24</v>
      </c>
      <c r="I13" s="37">
        <v>1.4497186650751721E-16</v>
      </c>
      <c r="J13" s="26">
        <v>0.95319241516966069</v>
      </c>
      <c r="K13" s="26">
        <v>2.0432561274720859E-2</v>
      </c>
      <c r="L13" s="27">
        <v>3.34</v>
      </c>
      <c r="M13" s="37">
        <v>1.0123815650008156E-17</v>
      </c>
      <c r="N13" s="37">
        <v>2.3228642251801082E-14</v>
      </c>
      <c r="O13" s="26">
        <v>0.94336856287425197</v>
      </c>
      <c r="P13" s="26">
        <v>1.6963874749884696E-2</v>
      </c>
      <c r="Q13" s="27">
        <v>3.32</v>
      </c>
      <c r="R13" s="37">
        <v>2.2673678512875044E-17</v>
      </c>
      <c r="S13" s="37">
        <v>4.2770202676436215E-14</v>
      </c>
      <c r="U13" s="11"/>
      <c r="V13" s="5">
        <v>0.2</v>
      </c>
      <c r="W13" s="18" t="s">
        <v>7</v>
      </c>
      <c r="X13" s="24">
        <f>AVERAGE(G22,G26,L22,L26,Q22,Q26)</f>
        <v>2.11</v>
      </c>
    </row>
    <row r="14" spans="1:24" x14ac:dyDescent="0.25">
      <c r="A14" s="16"/>
      <c r="B14" s="15"/>
      <c r="C14" s="5">
        <v>0.2</v>
      </c>
      <c r="D14" s="18" t="s">
        <v>7</v>
      </c>
      <c r="E14" s="26">
        <v>0.94343363273453096</v>
      </c>
      <c r="F14" s="26">
        <v>1.3763502605636236E-2</v>
      </c>
      <c r="G14" s="27">
        <v>2.12</v>
      </c>
      <c r="H14" s="37">
        <v>9.7560880753362726E-6</v>
      </c>
      <c r="I14" s="37">
        <v>5.4232948430555282E-5</v>
      </c>
      <c r="J14" s="26">
        <v>0.95939471057884207</v>
      </c>
      <c r="K14" s="26">
        <v>1.7085350990513712E-2</v>
      </c>
      <c r="L14" s="27">
        <v>2.395</v>
      </c>
      <c r="M14" s="37">
        <v>1.1300274489109518E-4</v>
      </c>
      <c r="N14" s="37">
        <v>1.4110368137737819E-4</v>
      </c>
      <c r="O14" s="26">
        <v>0.95033682634730554</v>
      </c>
      <c r="P14" s="26">
        <v>1.402295788567582E-2</v>
      </c>
      <c r="Q14" s="27">
        <v>2.36</v>
      </c>
      <c r="R14" s="37">
        <v>1.0208058273293457E-5</v>
      </c>
      <c r="S14" s="37">
        <v>3.5826689868429945E-5</v>
      </c>
      <c r="U14" s="9" t="s">
        <v>14</v>
      </c>
      <c r="V14" s="1">
        <v>0.2</v>
      </c>
      <c r="W14" s="2">
        <v>0</v>
      </c>
      <c r="X14" s="22">
        <f>AVERAGE(G27,G31,L27,L31,Q27,Q31)</f>
        <v>1.2783333333333333</v>
      </c>
    </row>
    <row r="15" spans="1:24" x14ac:dyDescent="0.25">
      <c r="A15" s="14"/>
      <c r="B15" s="6" t="s">
        <v>14</v>
      </c>
      <c r="C15" s="1">
        <v>0.2</v>
      </c>
      <c r="D15" s="2">
        <v>0</v>
      </c>
      <c r="E15" s="26">
        <v>0.85289900199600799</v>
      </c>
      <c r="F15" s="26">
        <v>3.6940048906868223E-2</v>
      </c>
      <c r="G15" s="27">
        <v>1.08</v>
      </c>
      <c r="H15" s="38" t="s">
        <v>17</v>
      </c>
      <c r="I15" s="38" t="s">
        <v>17</v>
      </c>
      <c r="J15" s="26">
        <v>0.86341876247505001</v>
      </c>
      <c r="K15" s="26">
        <v>5.650999749557864E-2</v>
      </c>
      <c r="L15" s="27">
        <v>1.26</v>
      </c>
      <c r="M15" s="38" t="s">
        <v>17</v>
      </c>
      <c r="N15" s="38" t="s">
        <v>17</v>
      </c>
      <c r="O15" s="26">
        <v>0.85915489021956082</v>
      </c>
      <c r="P15" s="26">
        <v>6.0131513423430032E-2</v>
      </c>
      <c r="Q15" s="27">
        <v>1.39</v>
      </c>
      <c r="R15" s="38" t="s">
        <v>17</v>
      </c>
      <c r="S15" s="38" t="s">
        <v>17</v>
      </c>
      <c r="U15" s="10"/>
      <c r="V15" s="3">
        <v>0.2</v>
      </c>
      <c r="W15" s="4">
        <v>0.1</v>
      </c>
      <c r="X15" s="23">
        <f>AVERAGE(G28,G32,L28,L32,Q28,Q32)</f>
        <v>2.9433333333333334</v>
      </c>
    </row>
    <row r="16" spans="1:24" x14ac:dyDescent="0.25">
      <c r="A16" s="14"/>
      <c r="B16" s="7"/>
      <c r="C16" s="3">
        <v>0.2</v>
      </c>
      <c r="D16" s="4">
        <v>0.1</v>
      </c>
      <c r="E16" s="26">
        <v>0.77382854291417158</v>
      </c>
      <c r="F16" s="26">
        <v>0.10788802663244601</v>
      </c>
      <c r="G16" s="27">
        <v>2.95</v>
      </c>
      <c r="H16" s="37">
        <v>2.6419832543804991E-16</v>
      </c>
      <c r="I16" s="37">
        <v>4.3312308026022109E-18</v>
      </c>
      <c r="J16" s="26">
        <v>0.78968283433133724</v>
      </c>
      <c r="K16" s="26">
        <v>0.13918930878512006</v>
      </c>
      <c r="L16" s="27">
        <v>2.82</v>
      </c>
      <c r="M16" s="37">
        <v>8.735733586566412E-12</v>
      </c>
      <c r="N16" s="37">
        <v>7.6704066715158835E-17</v>
      </c>
      <c r="O16" s="26">
        <v>0.79933033932135733</v>
      </c>
      <c r="P16" s="26">
        <v>0.12577555397326812</v>
      </c>
      <c r="Q16" s="27">
        <v>2.84</v>
      </c>
      <c r="R16" s="37">
        <v>4.4783883711885017E-11</v>
      </c>
      <c r="S16" s="37">
        <v>1.4497186650751721E-16</v>
      </c>
      <c r="U16" s="10"/>
      <c r="V16" s="3">
        <v>0.2</v>
      </c>
      <c r="W16" s="4">
        <v>0.2</v>
      </c>
      <c r="X16" s="23">
        <f>AVERAGE(G29,G33,L29,L33,Q29,Q33)</f>
        <v>3.8166666666666664</v>
      </c>
    </row>
    <row r="17" spans="1:24" x14ac:dyDescent="0.25">
      <c r="A17" s="16"/>
      <c r="B17" s="7"/>
      <c r="C17" s="3">
        <v>0.2</v>
      </c>
      <c r="D17" s="4">
        <v>0.2</v>
      </c>
      <c r="E17" s="26">
        <v>0.69687584830339322</v>
      </c>
      <c r="F17" s="26">
        <v>0.14998906819873378</v>
      </c>
      <c r="G17" s="27">
        <v>3.94</v>
      </c>
      <c r="H17" s="37">
        <v>5.9210989804447963E-23</v>
      </c>
      <c r="I17" s="37">
        <v>3.8380873502653143E-18</v>
      </c>
      <c r="J17" s="26">
        <v>0.72643602794411166</v>
      </c>
      <c r="K17" s="26">
        <v>0.19479326951333661</v>
      </c>
      <c r="L17" s="27">
        <v>3.94</v>
      </c>
      <c r="M17" s="37">
        <v>9.0168927657177048E-15</v>
      </c>
      <c r="N17" s="37">
        <v>3.8380873502653143E-18</v>
      </c>
      <c r="O17" s="26">
        <v>0.74362814371257502</v>
      </c>
      <c r="P17" s="26">
        <v>0.17629637914812596</v>
      </c>
      <c r="Q17" s="27">
        <v>3.87</v>
      </c>
      <c r="R17" s="37">
        <v>5.400580988652971E-14</v>
      </c>
      <c r="S17" s="37">
        <v>5.6810910339022815E-18</v>
      </c>
      <c r="U17" s="11"/>
      <c r="V17" s="5">
        <v>0.2</v>
      </c>
      <c r="W17" s="18" t="s">
        <v>7</v>
      </c>
      <c r="X17" s="24">
        <f>AVERAGE(G30,G34,L30,L34,Q30,Q34)</f>
        <v>1.9616666666666667</v>
      </c>
    </row>
    <row r="18" spans="1:24" x14ac:dyDescent="0.25">
      <c r="A18" s="16"/>
      <c r="B18" s="15"/>
      <c r="C18" s="5">
        <v>0.2</v>
      </c>
      <c r="D18" s="18" t="s">
        <v>7</v>
      </c>
      <c r="E18" s="26">
        <v>0.81681287425149729</v>
      </c>
      <c r="F18" s="26">
        <v>7.1899875335692004E-2</v>
      </c>
      <c r="G18" s="27">
        <v>2.0299999999999998</v>
      </c>
      <c r="H18" s="37">
        <v>9.7317695054331423E-13</v>
      </c>
      <c r="I18" s="37">
        <v>5.7324699274376839E-17</v>
      </c>
      <c r="J18" s="26">
        <v>0.82786876247504981</v>
      </c>
      <c r="K18" s="26">
        <v>9.6763830490669389E-2</v>
      </c>
      <c r="L18" s="27">
        <v>1.98</v>
      </c>
      <c r="M18" s="37">
        <v>4.2334523716316375E-10</v>
      </c>
      <c r="N18" s="37">
        <v>4.5069742783835195E-13</v>
      </c>
      <c r="O18" s="26">
        <v>0.83297355289421193</v>
      </c>
      <c r="P18" s="26">
        <v>9.192892478124233E-2</v>
      </c>
      <c r="Q18" s="27">
        <v>1.9</v>
      </c>
      <c r="R18" s="37">
        <v>5.8806317258608393E-8</v>
      </c>
      <c r="S18" s="37">
        <v>3.2038828799386814E-9</v>
      </c>
    </row>
    <row r="19" spans="1:24" x14ac:dyDescent="0.25">
      <c r="A19" s="13" t="s">
        <v>12</v>
      </c>
      <c r="B19" s="6" t="s">
        <v>13</v>
      </c>
      <c r="C19" s="1">
        <v>0.2</v>
      </c>
      <c r="D19" s="2">
        <v>0</v>
      </c>
      <c r="E19" s="26">
        <v>0.95376307385229575</v>
      </c>
      <c r="F19" s="26">
        <v>1.0124957126462889E-2</v>
      </c>
      <c r="G19" s="27">
        <v>1.17</v>
      </c>
      <c r="H19" s="38" t="s">
        <v>17</v>
      </c>
      <c r="I19" s="38" t="s">
        <v>17</v>
      </c>
      <c r="J19" s="26">
        <v>0.95201487025948073</v>
      </c>
      <c r="K19" s="26">
        <v>1.9099529814366353E-2</v>
      </c>
      <c r="L19" s="27">
        <v>1.59</v>
      </c>
      <c r="M19" s="38" t="s">
        <v>17</v>
      </c>
      <c r="N19" s="38" t="s">
        <v>17</v>
      </c>
      <c r="O19" s="26">
        <v>0.95931766467065893</v>
      </c>
      <c r="P19" s="26">
        <v>2.1383558362587755E-2</v>
      </c>
      <c r="Q19" s="27">
        <v>1.5149999999999999</v>
      </c>
      <c r="R19" s="38" t="s">
        <v>17</v>
      </c>
      <c r="S19" s="38" t="s">
        <v>17</v>
      </c>
    </row>
    <row r="20" spans="1:24" x14ac:dyDescent="0.25">
      <c r="A20" s="14"/>
      <c r="B20" s="7"/>
      <c r="C20" s="3">
        <v>0.2</v>
      </c>
      <c r="D20" s="4">
        <v>0.1</v>
      </c>
      <c r="E20" s="26">
        <v>0.93553133732534954</v>
      </c>
      <c r="F20" s="26">
        <v>1.9267995228722547E-2</v>
      </c>
      <c r="G20" s="27">
        <v>2.92</v>
      </c>
      <c r="H20" s="37">
        <v>4.9512548398228716E-29</v>
      </c>
      <c r="I20" s="37">
        <v>8.9101794983390416E-18</v>
      </c>
      <c r="J20" s="26">
        <v>0.94401327345309383</v>
      </c>
      <c r="K20" s="26">
        <v>2.2398457618153123E-2</v>
      </c>
      <c r="L20" s="27">
        <v>2.92</v>
      </c>
      <c r="M20" s="37">
        <v>2.8769876117904258E-15</v>
      </c>
      <c r="N20" s="37">
        <v>1.4646966784139146E-12</v>
      </c>
      <c r="O20" s="26">
        <v>0.95278702594810394</v>
      </c>
      <c r="P20" s="26">
        <v>2.3732721523451412E-2</v>
      </c>
      <c r="Q20" s="27">
        <v>2.9350000000000001</v>
      </c>
      <c r="R20" s="37">
        <v>3.599419811875404E-13</v>
      </c>
      <c r="S20" s="37">
        <v>1.4324056549731701E-11</v>
      </c>
    </row>
    <row r="21" spans="1:24" x14ac:dyDescent="0.25">
      <c r="A21" s="14"/>
      <c r="B21" s="7"/>
      <c r="C21" s="3">
        <v>0.2</v>
      </c>
      <c r="D21" s="4">
        <v>0.2</v>
      </c>
      <c r="E21" s="26">
        <v>0.92669890219560924</v>
      </c>
      <c r="F21" s="26">
        <v>2.3580014867963222E-2</v>
      </c>
      <c r="G21" s="27">
        <v>3.81</v>
      </c>
      <c r="H21" s="37">
        <v>6.2930560155502954E-32</v>
      </c>
      <c r="I21" s="37">
        <v>4.2023751079654479E-18</v>
      </c>
      <c r="J21" s="26">
        <v>0.94099051896207586</v>
      </c>
      <c r="K21" s="26">
        <v>2.318856127576872E-2</v>
      </c>
      <c r="L21" s="27">
        <v>3.37</v>
      </c>
      <c r="M21" s="37">
        <v>8.8364538048357017E-24</v>
      </c>
      <c r="N21" s="37">
        <v>1.4497186650751721E-16</v>
      </c>
      <c r="O21" s="26">
        <v>0.95007744510978032</v>
      </c>
      <c r="P21" s="26">
        <v>2.4578649074061931E-2</v>
      </c>
      <c r="Q21" s="27">
        <v>3.21</v>
      </c>
      <c r="R21" s="37">
        <v>8.1494210947475421E-20</v>
      </c>
      <c r="S21" s="37">
        <v>1.6084875823059115E-15</v>
      </c>
    </row>
    <row r="22" spans="1:24" x14ac:dyDescent="0.25">
      <c r="A22" s="16"/>
      <c r="B22" s="15"/>
      <c r="C22" s="5">
        <v>0.2</v>
      </c>
      <c r="D22" s="18" t="s">
        <v>7</v>
      </c>
      <c r="E22" s="26">
        <v>0.94456307385229565</v>
      </c>
      <c r="F22" s="26">
        <v>1.5419559168836777E-2</v>
      </c>
      <c r="G22" s="27">
        <v>2.1</v>
      </c>
      <c r="H22" s="37">
        <v>9.2898155255276489E-19</v>
      </c>
      <c r="I22" s="37">
        <v>3.0404121865011633E-15</v>
      </c>
      <c r="J22" s="26">
        <v>0.94873732534930155</v>
      </c>
      <c r="K22" s="26">
        <v>2.0083906592031867E-2</v>
      </c>
      <c r="L22" s="27">
        <v>2.12</v>
      </c>
      <c r="M22" s="37">
        <v>1.7993487188614187E-5</v>
      </c>
      <c r="N22" s="37">
        <v>2.223539743032388E-5</v>
      </c>
      <c r="O22" s="26">
        <v>0.95567075848303373</v>
      </c>
      <c r="P22" s="26">
        <v>2.2251117721911667E-2</v>
      </c>
      <c r="Q22" s="27">
        <v>2.34</v>
      </c>
      <c r="R22" s="37">
        <v>1.1806109029899593E-6</v>
      </c>
      <c r="S22" s="37">
        <v>4.4656098532979042E-6</v>
      </c>
      <c r="V22" s="28" t="s">
        <v>1</v>
      </c>
      <c r="W22" s="28" t="s">
        <v>2</v>
      </c>
      <c r="X22" s="29" t="s">
        <v>6</v>
      </c>
    </row>
    <row r="23" spans="1:24" x14ac:dyDescent="0.25">
      <c r="A23" s="14"/>
      <c r="B23" s="6" t="s">
        <v>14</v>
      </c>
      <c r="C23" s="1">
        <v>0.2</v>
      </c>
      <c r="D23" s="2">
        <v>0</v>
      </c>
      <c r="E23" s="26">
        <v>0.80957025948103778</v>
      </c>
      <c r="F23" s="26">
        <v>5.1553466915569543E-2</v>
      </c>
      <c r="G23" s="27">
        <v>1.02</v>
      </c>
      <c r="H23" s="38" t="s">
        <v>17</v>
      </c>
      <c r="I23" s="38" t="s">
        <v>17</v>
      </c>
      <c r="J23" s="26">
        <v>0.82912315369261502</v>
      </c>
      <c r="K23" s="26">
        <v>8.3713180480434884E-2</v>
      </c>
      <c r="L23" s="27">
        <v>1.17</v>
      </c>
      <c r="M23" s="38" t="s">
        <v>17</v>
      </c>
      <c r="N23" s="38" t="s">
        <v>17</v>
      </c>
      <c r="O23" s="26">
        <v>0.83492135728542893</v>
      </c>
      <c r="P23" s="26">
        <v>8.1234569972808549E-2</v>
      </c>
      <c r="Q23" s="27">
        <v>1.24</v>
      </c>
      <c r="R23" s="38" t="s">
        <v>17</v>
      </c>
      <c r="S23" s="38" t="s">
        <v>17</v>
      </c>
      <c r="V23" s="1">
        <v>0.2</v>
      </c>
      <c r="W23" s="2">
        <v>0</v>
      </c>
      <c r="X23" s="30">
        <f>AVERAGE(X2,X6,X10,X14)</f>
        <v>1.4241666666666666</v>
      </c>
    </row>
    <row r="24" spans="1:24" x14ac:dyDescent="0.25">
      <c r="A24" s="14"/>
      <c r="B24" s="7"/>
      <c r="C24" s="3">
        <v>0.2</v>
      </c>
      <c r="D24" s="4">
        <v>0.1</v>
      </c>
      <c r="E24" s="26">
        <v>0.69276197604790413</v>
      </c>
      <c r="F24" s="26">
        <v>0.11536406226152307</v>
      </c>
      <c r="G24" s="27">
        <v>3</v>
      </c>
      <c r="H24" s="37">
        <v>7.1172268693064927E-30</v>
      </c>
      <c r="I24" s="37">
        <v>3.8380873502653143E-18</v>
      </c>
      <c r="J24" s="26">
        <v>0.76295239520958125</v>
      </c>
      <c r="K24" s="26">
        <v>0.15302695988132073</v>
      </c>
      <c r="L24" s="27">
        <v>2.89</v>
      </c>
      <c r="M24" s="37">
        <v>1.048710081955142E-11</v>
      </c>
      <c r="N24" s="37">
        <v>1.0041880547516728E-17</v>
      </c>
      <c r="O24" s="26">
        <v>0.7620873253493009</v>
      </c>
      <c r="P24" s="26">
        <v>0.15693803807369017</v>
      </c>
      <c r="Q24" s="27">
        <v>3.0249999999999999</v>
      </c>
      <c r="R24" s="37">
        <v>3.7826227966538205E-11</v>
      </c>
      <c r="S24" s="37">
        <v>2.0496673298956111E-17</v>
      </c>
      <c r="V24" s="3">
        <v>0.2</v>
      </c>
      <c r="W24" s="4">
        <v>0.1</v>
      </c>
      <c r="X24" s="31">
        <f t="shared" ref="X24:X26" si="0">AVERAGE(X3,X7,X11,X15)</f>
        <v>2.7741666666666669</v>
      </c>
    </row>
    <row r="25" spans="1:24" x14ac:dyDescent="0.25">
      <c r="A25" s="16"/>
      <c r="B25" s="7"/>
      <c r="C25" s="3">
        <v>0.2</v>
      </c>
      <c r="D25" s="4">
        <v>0.2</v>
      </c>
      <c r="E25" s="26">
        <v>0.62084980039920157</v>
      </c>
      <c r="F25" s="26">
        <v>0.15005543230680971</v>
      </c>
      <c r="G25" s="27">
        <v>3.99</v>
      </c>
      <c r="H25" s="37">
        <v>9.1250573095366625E-33</v>
      </c>
      <c r="I25" s="37">
        <v>3.8380873502653143E-18</v>
      </c>
      <c r="J25" s="26">
        <v>0.72561696606786408</v>
      </c>
      <c r="K25" s="26">
        <v>0.18919628012042028</v>
      </c>
      <c r="L25" s="27">
        <v>3.86</v>
      </c>
      <c r="M25" s="37">
        <v>3.4904988302855691E-13</v>
      </c>
      <c r="N25" s="37">
        <v>3.9559116088995575E-18</v>
      </c>
      <c r="O25" s="26">
        <v>0.72654061876247467</v>
      </c>
      <c r="P25" s="26">
        <v>0.1973193874625177</v>
      </c>
      <c r="Q25" s="27">
        <v>3.7050000000000001</v>
      </c>
      <c r="R25" s="37">
        <v>6.7273940822922235E-12</v>
      </c>
      <c r="S25" s="37">
        <v>7.2246401467528864E-18</v>
      </c>
      <c r="V25" s="3">
        <v>0.2</v>
      </c>
      <c r="W25" s="4">
        <v>0.2</v>
      </c>
      <c r="X25" s="31">
        <f t="shared" si="0"/>
        <v>3.6402083333333333</v>
      </c>
    </row>
    <row r="26" spans="1:24" x14ac:dyDescent="0.25">
      <c r="A26" s="16"/>
      <c r="B26" s="15"/>
      <c r="C26" s="5">
        <v>0.2</v>
      </c>
      <c r="D26" s="18" t="s">
        <v>7</v>
      </c>
      <c r="E26" s="26">
        <v>0.74917704590818335</v>
      </c>
      <c r="F26" s="26">
        <v>8.3581061538711671E-2</v>
      </c>
      <c r="G26" s="27">
        <v>1.99</v>
      </c>
      <c r="H26" s="37">
        <v>5.0765754809911654E-28</v>
      </c>
      <c r="I26" s="37">
        <v>4.8868236332627474E-18</v>
      </c>
      <c r="J26" s="26">
        <v>0.79635948103792398</v>
      </c>
      <c r="K26" s="26">
        <v>0.1163365091849704</v>
      </c>
      <c r="L26" s="27">
        <v>2.08</v>
      </c>
      <c r="M26" s="37">
        <v>9.1063640907866473E-11</v>
      </c>
      <c r="N26" s="37">
        <v>3.1128103563810466E-14</v>
      </c>
      <c r="O26" s="26">
        <v>0.79817854291417145</v>
      </c>
      <c r="P26" s="26">
        <v>0.11689977066672806</v>
      </c>
      <c r="Q26" s="27">
        <v>2.0299999999999998</v>
      </c>
      <c r="R26" s="37">
        <v>1.3781332264074595E-9</v>
      </c>
      <c r="S26" s="37">
        <v>1.1141630482398363E-12</v>
      </c>
      <c r="V26" s="5">
        <v>0.2</v>
      </c>
      <c r="W26" s="18" t="s">
        <v>7</v>
      </c>
      <c r="X26" s="32">
        <f t="shared" si="0"/>
        <v>2.161458333333333</v>
      </c>
    </row>
    <row r="27" spans="1:24" x14ac:dyDescent="0.25">
      <c r="A27" s="13" t="s">
        <v>14</v>
      </c>
      <c r="B27" s="6" t="s">
        <v>13</v>
      </c>
      <c r="C27" s="1">
        <v>0.2</v>
      </c>
      <c r="D27" s="2">
        <v>0</v>
      </c>
      <c r="E27" s="26">
        <v>0.9684859281437127</v>
      </c>
      <c r="F27" s="26">
        <v>8.9235965805019336E-3</v>
      </c>
      <c r="G27" s="27">
        <v>1.1200000000000001</v>
      </c>
      <c r="H27" s="38" t="s">
        <v>17</v>
      </c>
      <c r="I27" s="38" t="s">
        <v>17</v>
      </c>
      <c r="J27" s="26">
        <v>0.94743922155688676</v>
      </c>
      <c r="K27" s="26">
        <v>2.039555278728139E-2</v>
      </c>
      <c r="L27" s="27">
        <v>1.55</v>
      </c>
      <c r="M27" s="38" t="s">
        <v>17</v>
      </c>
      <c r="N27" s="38" t="s">
        <v>17</v>
      </c>
      <c r="O27" s="26">
        <v>0.94547265469061914</v>
      </c>
      <c r="P27" s="26">
        <v>1.3125515798281258E-2</v>
      </c>
      <c r="Q27" s="27">
        <v>1.62</v>
      </c>
      <c r="R27" s="38" t="s">
        <v>17</v>
      </c>
      <c r="S27" s="38" t="s">
        <v>17</v>
      </c>
    </row>
    <row r="28" spans="1:24" x14ac:dyDescent="0.25">
      <c r="A28" s="14"/>
      <c r="B28" s="7"/>
      <c r="C28" s="3">
        <v>0.2</v>
      </c>
      <c r="D28" s="4">
        <v>0.1</v>
      </c>
      <c r="E28" s="26">
        <v>0.94564910179640693</v>
      </c>
      <c r="F28" s="26">
        <v>2.2948100114137147E-2</v>
      </c>
      <c r="G28" s="27">
        <v>3.03</v>
      </c>
      <c r="H28" s="37">
        <v>2.5177837598465431E-27</v>
      </c>
      <c r="I28" s="37">
        <v>4.0773053093621567E-18</v>
      </c>
      <c r="J28" s="26">
        <v>0.94030508982035943</v>
      </c>
      <c r="K28" s="26">
        <v>2.2731618291553769E-2</v>
      </c>
      <c r="L28" s="27">
        <v>2.74</v>
      </c>
      <c r="M28" s="37">
        <v>3.6640353731707668E-15</v>
      </c>
      <c r="N28" s="37">
        <v>1.1003587472747326E-12</v>
      </c>
      <c r="O28" s="26">
        <v>0.93593413173652695</v>
      </c>
      <c r="P28" s="26">
        <v>1.5181580776807393E-2</v>
      </c>
      <c r="Q28" s="27">
        <v>2.87</v>
      </c>
      <c r="R28" s="37">
        <v>1.3307191267975855E-18</v>
      </c>
      <c r="S28" s="37">
        <v>4.1655278750925027E-14</v>
      </c>
    </row>
    <row r="29" spans="1:24" x14ac:dyDescent="0.25">
      <c r="A29" s="14"/>
      <c r="B29" s="7"/>
      <c r="C29" s="3">
        <v>0.2</v>
      </c>
      <c r="D29" s="4">
        <v>0.2</v>
      </c>
      <c r="E29" s="26">
        <v>0.93452175648702618</v>
      </c>
      <c r="F29" s="26">
        <v>2.8104426995980387E-2</v>
      </c>
      <c r="G29" s="27">
        <v>3.9</v>
      </c>
      <c r="H29" s="37">
        <v>1.7989706413780516E-30</v>
      </c>
      <c r="I29" s="37">
        <v>3.8380873502653143E-18</v>
      </c>
      <c r="J29" s="26">
        <v>0.93326387225548912</v>
      </c>
      <c r="K29" s="26">
        <v>2.5381483997167231E-2</v>
      </c>
      <c r="L29" s="27">
        <v>3.71</v>
      </c>
      <c r="M29" s="37">
        <v>5.2675172289450805E-27</v>
      </c>
      <c r="N29" s="37">
        <v>5.3491518536533078E-18</v>
      </c>
      <c r="O29" s="26">
        <v>0.9306684630738522</v>
      </c>
      <c r="P29" s="26">
        <v>1.609585531836517E-2</v>
      </c>
      <c r="Q29" s="27">
        <v>3.54</v>
      </c>
      <c r="R29" s="37">
        <v>3.2177465903812973E-27</v>
      </c>
      <c r="S29" s="37">
        <v>1.8754673400096489E-17</v>
      </c>
    </row>
    <row r="30" spans="1:24" x14ac:dyDescent="0.25">
      <c r="A30" s="16"/>
      <c r="B30" s="15"/>
      <c r="C30" s="5">
        <v>0.2</v>
      </c>
      <c r="D30" s="18" t="s">
        <v>7</v>
      </c>
      <c r="E30" s="26">
        <v>0.95989121756487039</v>
      </c>
      <c r="F30" s="26">
        <v>1.5241011952874273E-2</v>
      </c>
      <c r="G30" s="27">
        <v>1.95</v>
      </c>
      <c r="H30" s="37">
        <v>3.3740808042940282E-17</v>
      </c>
      <c r="I30" s="37">
        <v>2.4381307168572881E-15</v>
      </c>
      <c r="J30" s="26">
        <v>0.94511586826347271</v>
      </c>
      <c r="K30" s="26">
        <v>2.0244945988938945E-2</v>
      </c>
      <c r="L30" s="27">
        <v>2</v>
      </c>
      <c r="M30" s="37">
        <v>2.5042634706332924E-3</v>
      </c>
      <c r="N30" s="37">
        <v>1.8602351666628272E-3</v>
      </c>
      <c r="O30" s="26">
        <v>0.942222155688623</v>
      </c>
      <c r="P30" s="26">
        <v>1.497016560914833E-2</v>
      </c>
      <c r="Q30" s="27">
        <v>1.97</v>
      </c>
      <c r="R30" s="37">
        <v>6.7394917971895431E-4</v>
      </c>
      <c r="S30" s="37">
        <v>1.1855235904302695E-3</v>
      </c>
    </row>
    <row r="31" spans="1:24" x14ac:dyDescent="0.25">
      <c r="A31" s="14"/>
      <c r="B31" s="6" t="s">
        <v>14</v>
      </c>
      <c r="C31" s="1">
        <v>0.2</v>
      </c>
      <c r="D31" s="2">
        <v>0</v>
      </c>
      <c r="E31" s="26">
        <v>0.83999371257485023</v>
      </c>
      <c r="F31" s="26">
        <v>3.9073103567285022E-2</v>
      </c>
      <c r="G31" s="27">
        <v>1</v>
      </c>
      <c r="H31" s="38" t="s">
        <v>17</v>
      </c>
      <c r="I31" s="38" t="s">
        <v>17</v>
      </c>
      <c r="J31" s="26">
        <v>0.82493403193612791</v>
      </c>
      <c r="K31" s="26">
        <v>9.1494583065538135E-2</v>
      </c>
      <c r="L31" s="27">
        <v>1.21</v>
      </c>
      <c r="M31" s="38" t="s">
        <v>17</v>
      </c>
      <c r="N31" s="38" t="s">
        <v>17</v>
      </c>
      <c r="O31" s="26">
        <v>0.84285828343313351</v>
      </c>
      <c r="P31" s="26">
        <v>8.0199569537229579E-2</v>
      </c>
      <c r="Q31" s="27">
        <v>1.17</v>
      </c>
      <c r="R31" s="38" t="s">
        <v>17</v>
      </c>
      <c r="S31" s="38" t="s">
        <v>17</v>
      </c>
    </row>
    <row r="32" spans="1:24" x14ac:dyDescent="0.25">
      <c r="A32" s="14"/>
      <c r="B32" s="7"/>
      <c r="C32" s="3">
        <v>0.2</v>
      </c>
      <c r="D32" s="4">
        <v>0.1</v>
      </c>
      <c r="E32" s="26">
        <v>0.69419061876247501</v>
      </c>
      <c r="F32" s="26">
        <v>0.10242316114235242</v>
      </c>
      <c r="G32" s="27">
        <v>3</v>
      </c>
      <c r="H32" s="37">
        <v>8.2192056070081174E-38</v>
      </c>
      <c r="I32" s="37">
        <v>3.8380873502653143E-18</v>
      </c>
      <c r="J32" s="26">
        <v>0.75619970059880226</v>
      </c>
      <c r="K32" s="26">
        <v>0.14448370352596918</v>
      </c>
      <c r="L32" s="27">
        <v>3.02</v>
      </c>
      <c r="M32" s="37">
        <v>9.2528806288154927E-15</v>
      </c>
      <c r="N32" s="37">
        <v>3.8380873502653143E-18</v>
      </c>
      <c r="O32" s="26">
        <v>0.76966926147704584</v>
      </c>
      <c r="P32" s="26">
        <v>0.13144750410432857</v>
      </c>
      <c r="Q32" s="27">
        <v>3</v>
      </c>
      <c r="R32" s="37">
        <v>1.5906381891883057E-12</v>
      </c>
      <c r="S32" s="37">
        <v>4.2023751079654479E-18</v>
      </c>
    </row>
    <row r="33" spans="1:19" x14ac:dyDescent="0.25">
      <c r="A33" s="16"/>
      <c r="B33" s="7"/>
      <c r="C33" s="3">
        <v>0.2</v>
      </c>
      <c r="D33" s="4">
        <v>0.2</v>
      </c>
      <c r="E33" s="26">
        <v>0.62958862275449101</v>
      </c>
      <c r="F33" s="26">
        <v>0.12362012986239292</v>
      </c>
      <c r="G33" s="27">
        <v>4</v>
      </c>
      <c r="H33" s="37">
        <v>1.629749102159102E-41</v>
      </c>
      <c r="I33" s="37">
        <v>3.8380873502653143E-18</v>
      </c>
      <c r="J33" s="26">
        <v>0.72198712574850277</v>
      </c>
      <c r="K33" s="26">
        <v>0.17677481578214158</v>
      </c>
      <c r="L33" s="27">
        <v>3.87</v>
      </c>
      <c r="M33" s="37">
        <v>3.4495612212557807E-15</v>
      </c>
      <c r="N33" s="37">
        <v>3.9559116088995575E-18</v>
      </c>
      <c r="O33" s="26">
        <v>0.73046536926147743</v>
      </c>
      <c r="P33" s="26">
        <v>0.17065360323615703</v>
      </c>
      <c r="Q33" s="27">
        <v>3.88</v>
      </c>
      <c r="R33" s="37">
        <v>2.3837025512557621E-13</v>
      </c>
      <c r="S33" s="37">
        <v>3.8380873502653143E-18</v>
      </c>
    </row>
    <row r="34" spans="1:19" x14ac:dyDescent="0.25">
      <c r="A34" s="17"/>
      <c r="B34" s="15"/>
      <c r="C34" s="5">
        <v>0.2</v>
      </c>
      <c r="D34" s="18" t="s">
        <v>7</v>
      </c>
      <c r="E34" s="26">
        <v>0.77914441117764466</v>
      </c>
      <c r="F34" s="26">
        <v>6.7085241348854324E-2</v>
      </c>
      <c r="G34" s="27">
        <v>2</v>
      </c>
      <c r="H34" s="37">
        <v>2.0040488902377096E-33</v>
      </c>
      <c r="I34" s="37">
        <v>3.8380873502653143E-18</v>
      </c>
      <c r="J34" s="26">
        <v>0.80133662674650719</v>
      </c>
      <c r="K34" s="26">
        <v>0.10542316004871002</v>
      </c>
      <c r="L34" s="27">
        <v>1.9</v>
      </c>
      <c r="M34" s="37">
        <v>4.7277922635677313E-10</v>
      </c>
      <c r="N34" s="37">
        <v>2.2963097264444984E-11</v>
      </c>
      <c r="O34" s="26">
        <v>0.81862475049900174</v>
      </c>
      <c r="P34" s="26">
        <v>8.7885757811743681E-2</v>
      </c>
      <c r="Q34" s="27">
        <v>1.95</v>
      </c>
      <c r="R34" s="37">
        <v>5.7373153204348678E-11</v>
      </c>
      <c r="S34" s="37">
        <v>6.8668905895053473E-14</v>
      </c>
    </row>
    <row r="35" spans="1:19" x14ac:dyDescent="0.25">
      <c r="E35" s="25"/>
      <c r="F35" s="25"/>
      <c r="G35" s="25"/>
      <c r="H35" s="25"/>
      <c r="I35" s="25"/>
      <c r="J35" s="25"/>
      <c r="K35" s="25"/>
      <c r="P35" s="25"/>
      <c r="Q35" s="25"/>
      <c r="R35" s="25"/>
      <c r="S35" s="25"/>
    </row>
    <row r="36" spans="1:19" x14ac:dyDescent="0.25">
      <c r="E36" s="25"/>
      <c r="F36" s="25"/>
      <c r="G36" s="25"/>
      <c r="H36" s="25"/>
      <c r="I36" s="25"/>
      <c r="J36" s="25"/>
      <c r="K36" s="25"/>
      <c r="P36" s="25"/>
      <c r="Q36" s="25"/>
      <c r="R36" s="25"/>
      <c r="S36" s="25"/>
    </row>
    <row r="37" spans="1:19" x14ac:dyDescent="0.25">
      <c r="E37" s="25"/>
      <c r="F37" s="25"/>
      <c r="G37" s="25"/>
      <c r="H37" s="25"/>
      <c r="I37" s="25"/>
      <c r="J37" s="25"/>
      <c r="K37" s="25"/>
      <c r="P37" s="25"/>
      <c r="Q37" s="25"/>
      <c r="R37" s="25"/>
      <c r="S37" s="25"/>
    </row>
    <row r="38" spans="1:19" x14ac:dyDescent="0.25"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2F07-BA24-4339-A146-9ADC8527732A}">
  <dimension ref="A1:X34"/>
  <sheetViews>
    <sheetView zoomScale="130" zoomScaleNormal="130" workbookViewId="0">
      <selection activeCell="O9" sqref="O9"/>
    </sheetView>
  </sheetViews>
  <sheetFormatPr defaultRowHeight="15" x14ac:dyDescent="0.25"/>
  <sheetData>
    <row r="1" spans="1:24" x14ac:dyDescent="0.25">
      <c r="A1" s="19" t="s">
        <v>9</v>
      </c>
      <c r="B1" s="20"/>
      <c r="C1" s="20"/>
      <c r="D1" s="20"/>
      <c r="E1" s="20" t="s">
        <v>13</v>
      </c>
      <c r="F1" s="20"/>
      <c r="G1" s="20"/>
      <c r="H1" s="20"/>
      <c r="I1" s="20"/>
      <c r="J1" s="20" t="s">
        <v>14</v>
      </c>
      <c r="K1" s="20"/>
      <c r="L1" s="20"/>
      <c r="M1" s="20"/>
      <c r="N1" s="20"/>
      <c r="O1" s="20" t="s">
        <v>8</v>
      </c>
      <c r="P1" s="20"/>
      <c r="Q1" s="20"/>
      <c r="R1" s="20"/>
      <c r="S1" s="21"/>
      <c r="U1" s="12" t="s">
        <v>3</v>
      </c>
      <c r="V1" s="12" t="s">
        <v>1</v>
      </c>
      <c r="W1" s="12" t="s">
        <v>2</v>
      </c>
      <c r="X1" s="12" t="s">
        <v>6</v>
      </c>
    </row>
    <row r="2" spans="1:24" x14ac:dyDescent="0.25">
      <c r="A2" s="8" t="s">
        <v>3</v>
      </c>
      <c r="B2" s="8" t="s">
        <v>0</v>
      </c>
      <c r="C2" s="8" t="s">
        <v>1</v>
      </c>
      <c r="D2" s="8" t="s">
        <v>2</v>
      </c>
      <c r="E2" s="8" t="s">
        <v>4</v>
      </c>
      <c r="F2" s="8" t="s">
        <v>5</v>
      </c>
      <c r="G2" s="8" t="s">
        <v>6</v>
      </c>
      <c r="H2" s="8" t="s">
        <v>15</v>
      </c>
      <c r="I2" s="8" t="s">
        <v>16</v>
      </c>
      <c r="J2" s="8" t="s">
        <v>4</v>
      </c>
      <c r="K2" s="8" t="s">
        <v>5</v>
      </c>
      <c r="L2" s="8" t="s">
        <v>6</v>
      </c>
      <c r="M2" s="33" t="s">
        <v>15</v>
      </c>
      <c r="N2" s="33" t="s">
        <v>16</v>
      </c>
      <c r="O2" s="8" t="s">
        <v>4</v>
      </c>
      <c r="P2" s="8" t="s">
        <v>5</v>
      </c>
      <c r="Q2" s="8" t="s">
        <v>6</v>
      </c>
      <c r="R2" s="36" t="s">
        <v>15</v>
      </c>
      <c r="S2" s="36" t="s">
        <v>16</v>
      </c>
      <c r="U2" s="9" t="s">
        <v>10</v>
      </c>
      <c r="V2" s="1">
        <v>0.2</v>
      </c>
      <c r="W2" s="2">
        <v>0</v>
      </c>
      <c r="X2" s="22">
        <f>AVERAGE(G3,G7,L3,L7,Q3,Q7)</f>
        <v>2.6675000000000004</v>
      </c>
    </row>
    <row r="3" spans="1:24" x14ac:dyDescent="0.25">
      <c r="A3" s="13" t="s">
        <v>10</v>
      </c>
      <c r="B3" s="6" t="s">
        <v>13</v>
      </c>
      <c r="C3" s="1">
        <v>0.2</v>
      </c>
      <c r="D3" s="2">
        <v>0</v>
      </c>
      <c r="E3" s="34">
        <v>4.9146554357970586E-3</v>
      </c>
      <c r="F3" s="34">
        <v>5.1673856873949472E-4</v>
      </c>
      <c r="G3" s="35">
        <v>2.73</v>
      </c>
      <c r="H3" s="37">
        <v>2.7546879152734099E-2</v>
      </c>
      <c r="I3" s="37">
        <v>2.508646735417035E-2</v>
      </c>
      <c r="J3" s="34">
        <v>5.6328169157724237E-3</v>
      </c>
      <c r="K3" s="34">
        <v>7.7925133270060796E-4</v>
      </c>
      <c r="L3" s="35">
        <v>2.72</v>
      </c>
      <c r="M3" s="37">
        <v>0.18786370512391132</v>
      </c>
      <c r="N3" s="37">
        <v>9.5056610799807886E-2</v>
      </c>
      <c r="O3" s="34">
        <v>5.6868949570243162E-3</v>
      </c>
      <c r="P3" s="34">
        <v>7.5117696902588969E-4</v>
      </c>
      <c r="Q3" s="35">
        <v>2.5750000000000002</v>
      </c>
      <c r="R3" s="37">
        <v>0.31846086191210271</v>
      </c>
      <c r="S3" s="37">
        <v>0.18387682218477888</v>
      </c>
      <c r="U3" s="10"/>
      <c r="V3" s="3">
        <v>0.2</v>
      </c>
      <c r="W3" s="4">
        <v>0.1</v>
      </c>
      <c r="X3" s="23">
        <f>AVERAGE(G4,G8,L4,L8,Q4,Q8)</f>
        <v>2.4833333333333334</v>
      </c>
    </row>
    <row r="4" spans="1:24" x14ac:dyDescent="0.25">
      <c r="A4" s="14"/>
      <c r="B4" s="7"/>
      <c r="C4" s="3">
        <v>0.2</v>
      </c>
      <c r="D4" s="4">
        <v>0.1</v>
      </c>
      <c r="E4" s="34">
        <v>4.9399276248756644E-3</v>
      </c>
      <c r="F4" s="34">
        <v>5.2745910929119706E-4</v>
      </c>
      <c r="G4" s="35">
        <v>2.4649999999999999</v>
      </c>
      <c r="H4" s="37">
        <v>0.29592695487891563</v>
      </c>
      <c r="I4" s="37">
        <v>0.37226146792614001</v>
      </c>
      <c r="J4" s="34">
        <v>5.6679649038883177E-3</v>
      </c>
      <c r="K4" s="34">
        <v>7.8840115685627481E-4</v>
      </c>
      <c r="L4" s="35">
        <v>2.4649999999999999</v>
      </c>
      <c r="M4" s="37">
        <v>0.89954955538763504</v>
      </c>
      <c r="N4" s="37">
        <v>0.88110614232260454</v>
      </c>
      <c r="O4" s="34">
        <v>5.6843001450888339E-3</v>
      </c>
      <c r="P4" s="34">
        <v>7.7295480631106139E-4</v>
      </c>
      <c r="Q4" s="35">
        <v>2.67</v>
      </c>
      <c r="R4" s="37">
        <v>0.23593911608095247</v>
      </c>
      <c r="S4" s="37">
        <v>0.14630922072891708</v>
      </c>
      <c r="U4" s="10"/>
      <c r="V4" s="3">
        <v>0.2</v>
      </c>
      <c r="W4" s="4">
        <v>0.2</v>
      </c>
      <c r="X4" s="23">
        <f>AVERAGE(G5,G9,L5,L9,Q5,Q9)</f>
        <v>2.394166666666667</v>
      </c>
    </row>
    <row r="5" spans="1:24" x14ac:dyDescent="0.25">
      <c r="A5" s="14"/>
      <c r="B5" s="7"/>
      <c r="C5" s="3">
        <v>0.2</v>
      </c>
      <c r="D5" s="4">
        <v>0.2</v>
      </c>
      <c r="E5" s="34">
        <v>4.9629562341488359E-3</v>
      </c>
      <c r="F5" s="34">
        <v>5.2625286592434097E-4</v>
      </c>
      <c r="G5" s="35">
        <v>2.33</v>
      </c>
      <c r="H5" s="38" t="s">
        <v>17</v>
      </c>
      <c r="I5" s="38" t="s">
        <v>17</v>
      </c>
      <c r="J5" s="34">
        <v>5.6536929472826222E-3</v>
      </c>
      <c r="K5" s="34">
        <v>7.6990471004682176E-4</v>
      </c>
      <c r="L5" s="35">
        <v>2.42</v>
      </c>
      <c r="M5" s="37">
        <v>0.69656170457999522</v>
      </c>
      <c r="N5" s="37">
        <v>0.91647983093259322</v>
      </c>
      <c r="O5" s="34">
        <v>5.7098760917114674E-3</v>
      </c>
      <c r="P5" s="34">
        <v>7.3525780875474298E-4</v>
      </c>
      <c r="Q5" s="35">
        <v>2.2850000000000001</v>
      </c>
      <c r="R5" s="38" t="s">
        <v>17</v>
      </c>
      <c r="S5" s="38" t="s">
        <v>17</v>
      </c>
      <c r="U5" s="11"/>
      <c r="V5" s="5">
        <v>0.2</v>
      </c>
      <c r="W5" s="18" t="s">
        <v>7</v>
      </c>
      <c r="X5" s="24">
        <f>AVERAGE(G6,G10,L6,L10,Q6,Q10)</f>
        <v>2.4550000000000005</v>
      </c>
    </row>
    <row r="6" spans="1:24" x14ac:dyDescent="0.25">
      <c r="A6" s="16"/>
      <c r="B6" s="15"/>
      <c r="C6" s="5">
        <v>0.2</v>
      </c>
      <c r="D6" s="18" t="s">
        <v>7</v>
      </c>
      <c r="E6" s="34">
        <v>4.934691885312638E-3</v>
      </c>
      <c r="F6" s="34">
        <v>5.0328862402194269E-4</v>
      </c>
      <c r="G6" s="35">
        <v>2.4750000000000001</v>
      </c>
      <c r="H6" s="37">
        <v>0.19135525307001811</v>
      </c>
      <c r="I6" s="37">
        <v>0.22419533417408088</v>
      </c>
      <c r="J6" s="34">
        <v>5.6646623121646674E-3</v>
      </c>
      <c r="K6" s="34">
        <v>7.8149413114898618E-4</v>
      </c>
      <c r="L6" s="35">
        <v>2.395</v>
      </c>
      <c r="M6" s="38" t="s">
        <v>17</v>
      </c>
      <c r="N6" s="38" t="s">
        <v>17</v>
      </c>
      <c r="O6" s="34">
        <v>5.6868969494174191E-3</v>
      </c>
      <c r="P6" s="34">
        <v>7.5947683143817799E-4</v>
      </c>
      <c r="Q6" s="35">
        <v>2.4700000000000002</v>
      </c>
      <c r="R6" s="37">
        <v>0.32857509533532991</v>
      </c>
      <c r="S6" s="37">
        <v>0.38718222426999582</v>
      </c>
      <c r="U6" s="9" t="s">
        <v>11</v>
      </c>
      <c r="V6" s="1">
        <v>0.2</v>
      </c>
      <c r="W6" s="2">
        <v>0</v>
      </c>
      <c r="X6" s="22">
        <f>AVERAGE(G11,G15,L11,L15,Q11,Q15)</f>
        <v>2.4733333333333336</v>
      </c>
    </row>
    <row r="7" spans="1:24" x14ac:dyDescent="0.25">
      <c r="A7" s="14"/>
      <c r="B7" s="6" t="s">
        <v>14</v>
      </c>
      <c r="C7" s="1">
        <v>0.2</v>
      </c>
      <c r="D7" s="2">
        <v>0</v>
      </c>
      <c r="E7" s="34">
        <v>1.3987952190883807E-3</v>
      </c>
      <c r="F7" s="34">
        <v>7.5936774605553034E-4</v>
      </c>
      <c r="G7" s="35">
        <v>2.5300000000000002</v>
      </c>
      <c r="H7" s="37">
        <v>9.6368330527186741E-2</v>
      </c>
      <c r="I7" s="37">
        <v>0.41023576809248952</v>
      </c>
      <c r="J7" s="34">
        <v>1.350926044002408E-3</v>
      </c>
      <c r="K7" s="34">
        <v>1.0493608578790578E-3</v>
      </c>
      <c r="L7" s="35">
        <v>2.6850000000000009</v>
      </c>
      <c r="M7" s="37">
        <v>9.9107305611668903E-2</v>
      </c>
      <c r="N7" s="37">
        <v>6.8668746975331069E-2</v>
      </c>
      <c r="O7" s="34">
        <v>1.2694272093214634E-3</v>
      </c>
      <c r="P7" s="34">
        <v>8.4247226151055316E-4</v>
      </c>
      <c r="Q7" s="35">
        <v>2.7650000000000001</v>
      </c>
      <c r="R7" s="37">
        <v>0.24496762325190485</v>
      </c>
      <c r="S7" s="37">
        <v>3.0169049795890072E-2</v>
      </c>
      <c r="U7" s="10"/>
      <c r="V7" s="3">
        <v>0.2</v>
      </c>
      <c r="W7" s="4">
        <v>0.1</v>
      </c>
      <c r="X7" s="23">
        <f>AVERAGE(G12,G16,L12,L16,Q12,Q16)</f>
        <v>2.4975000000000001</v>
      </c>
    </row>
    <row r="8" spans="1:24" x14ac:dyDescent="0.25">
      <c r="A8" s="14"/>
      <c r="B8" s="7"/>
      <c r="C8" s="3">
        <v>0.2</v>
      </c>
      <c r="D8" s="4">
        <v>0.1</v>
      </c>
      <c r="E8" s="34">
        <v>1.4126872212126512E-3</v>
      </c>
      <c r="F8" s="34">
        <v>7.7834765684875234E-4</v>
      </c>
      <c r="G8" s="35">
        <v>2.4450000000000003</v>
      </c>
      <c r="H8" s="38" t="s">
        <v>17</v>
      </c>
      <c r="I8" s="38" t="s">
        <v>17</v>
      </c>
      <c r="J8" s="34">
        <v>1.3657978992821557E-3</v>
      </c>
      <c r="K8" s="34">
        <v>1.0552276761695888E-3</v>
      </c>
      <c r="L8" s="35">
        <v>2.4700000000000002</v>
      </c>
      <c r="M8" s="37">
        <v>0.95094534750683668</v>
      </c>
      <c r="N8" s="37">
        <v>0.93560050400039141</v>
      </c>
      <c r="O8" s="34">
        <v>1.2768164002336401E-3</v>
      </c>
      <c r="P8" s="34">
        <v>8.3864800384803582E-4</v>
      </c>
      <c r="Q8" s="35">
        <v>2.3850000000000002</v>
      </c>
      <c r="R8" s="38" t="s">
        <v>17</v>
      </c>
      <c r="S8" s="38" t="s">
        <v>17</v>
      </c>
      <c r="U8" s="10"/>
      <c r="V8" s="3">
        <v>0.2</v>
      </c>
      <c r="W8" s="4">
        <v>0.2</v>
      </c>
      <c r="X8" s="23">
        <f>AVERAGE(G13,G17,L13,L17,Q13,Q17)</f>
        <v>2.4841666666666664</v>
      </c>
    </row>
    <row r="9" spans="1:24" x14ac:dyDescent="0.25">
      <c r="A9" s="16"/>
      <c r="B9" s="7"/>
      <c r="C9" s="3">
        <v>0.2</v>
      </c>
      <c r="D9" s="4">
        <v>0.2</v>
      </c>
      <c r="E9" s="34">
        <v>1.418179165636178E-3</v>
      </c>
      <c r="F9" s="34">
        <v>7.8353274462342995E-4</v>
      </c>
      <c r="G9" s="35">
        <v>2.4700000000000006</v>
      </c>
      <c r="H9" s="37">
        <v>0.46033818150863481</v>
      </c>
      <c r="I9" s="37">
        <v>0.93833532396435149</v>
      </c>
      <c r="J9" s="34">
        <v>1.3667693871675585E-3</v>
      </c>
      <c r="K9" s="34">
        <v>1.0539039454438069E-3</v>
      </c>
      <c r="L9" s="35">
        <v>2.4350000000000001</v>
      </c>
      <c r="M9" s="37">
        <v>0.86239623180396352</v>
      </c>
      <c r="N9" s="37">
        <v>0.93560050400039141</v>
      </c>
      <c r="O9" s="34">
        <v>1.2797411856748334E-3</v>
      </c>
      <c r="P9" s="34">
        <v>8.4285605835093098E-4</v>
      </c>
      <c r="Q9" s="35">
        <v>2.4249999999999998</v>
      </c>
      <c r="R9" s="37">
        <v>0.68062328467112154</v>
      </c>
      <c r="S9" s="37">
        <v>0.70910509422205159</v>
      </c>
      <c r="U9" s="11"/>
      <c r="V9" s="5">
        <v>0.2</v>
      </c>
      <c r="W9" s="18" t="s">
        <v>7</v>
      </c>
      <c r="X9" s="24">
        <f>AVERAGE(G14,G18,L14,L18,Q14,Q18)</f>
        <v>2.5450000000000004</v>
      </c>
    </row>
    <row r="10" spans="1:24" x14ac:dyDescent="0.25">
      <c r="A10" s="16"/>
      <c r="B10" s="15"/>
      <c r="C10" s="5">
        <v>0.2</v>
      </c>
      <c r="D10" s="18" t="s">
        <v>7</v>
      </c>
      <c r="E10" s="34">
        <v>1.4065375538589158E-3</v>
      </c>
      <c r="F10" s="34">
        <v>7.662105963292191E-4</v>
      </c>
      <c r="G10" s="35">
        <v>2.5550000000000002</v>
      </c>
      <c r="H10" s="37">
        <v>0.45428666251861705</v>
      </c>
      <c r="I10" s="37">
        <v>0.62903563940321439</v>
      </c>
      <c r="J10" s="34">
        <v>1.3653426515669584E-3</v>
      </c>
      <c r="K10" s="34">
        <v>1.0596007346416066E-3</v>
      </c>
      <c r="L10" s="35">
        <v>2.41</v>
      </c>
      <c r="M10" s="38" t="s">
        <v>17</v>
      </c>
      <c r="N10" s="38" t="s">
        <v>17</v>
      </c>
      <c r="O10" s="34">
        <v>1.2782700716986747E-3</v>
      </c>
      <c r="P10" s="34">
        <v>8.450611962562088E-4</v>
      </c>
      <c r="Q10" s="35">
        <v>2.4250000000000003</v>
      </c>
      <c r="R10" s="37">
        <v>0.81879788938525022</v>
      </c>
      <c r="S10" s="37">
        <v>0.98216947335223692</v>
      </c>
      <c r="U10" s="9" t="s">
        <v>12</v>
      </c>
      <c r="V10" s="1">
        <v>0.2</v>
      </c>
      <c r="W10" s="2">
        <v>0</v>
      </c>
      <c r="X10" s="22">
        <f>AVERAGE(G19,G23,L19,L23,Q19,Q23)</f>
        <v>2.1766666666666667</v>
      </c>
    </row>
    <row r="11" spans="1:24" x14ac:dyDescent="0.25">
      <c r="A11" s="13" t="s">
        <v>11</v>
      </c>
      <c r="B11" s="6" t="s">
        <v>13</v>
      </c>
      <c r="C11" s="1">
        <v>0.2</v>
      </c>
      <c r="D11" s="2">
        <v>0</v>
      </c>
      <c r="E11" s="34">
        <v>4.7383455342947085E-2</v>
      </c>
      <c r="F11" s="34">
        <v>5.4412264432514195E-3</v>
      </c>
      <c r="G11" s="35">
        <v>2.3849999999999998</v>
      </c>
      <c r="H11" s="38" t="s">
        <v>17</v>
      </c>
      <c r="I11" s="38" t="s">
        <v>17</v>
      </c>
      <c r="J11" s="34">
        <v>5.2794670139638199E-2</v>
      </c>
      <c r="K11" s="34">
        <v>5.9450389931908184E-3</v>
      </c>
      <c r="L11" s="35">
        <v>2.4500000000000002</v>
      </c>
      <c r="M11" s="37">
        <v>0.72232075325532807</v>
      </c>
      <c r="N11" s="37">
        <v>0.87297394513444404</v>
      </c>
      <c r="O11" s="34">
        <v>5.0927462582361673E-2</v>
      </c>
      <c r="P11" s="34">
        <v>4.0952066255319688E-3</v>
      </c>
      <c r="Q11" s="35">
        <v>2.4350000000000001</v>
      </c>
      <c r="R11" s="38" t="s">
        <v>17</v>
      </c>
      <c r="S11" s="38" t="s">
        <v>17</v>
      </c>
      <c r="U11" s="10"/>
      <c r="V11" s="3">
        <v>0.2</v>
      </c>
      <c r="W11" s="4">
        <v>0.1</v>
      </c>
      <c r="X11" s="23">
        <f>AVERAGE(G20,G24,L20,L24,Q20,Q24)</f>
        <v>2.7424999999999997</v>
      </c>
    </row>
    <row r="12" spans="1:24" x14ac:dyDescent="0.25">
      <c r="A12" s="14"/>
      <c r="B12" s="7"/>
      <c r="C12" s="3">
        <v>0.2</v>
      </c>
      <c r="D12" s="4">
        <v>0.1</v>
      </c>
      <c r="E12" s="34">
        <v>4.7230284328503541E-2</v>
      </c>
      <c r="F12" s="34">
        <v>5.2412470016471088E-3</v>
      </c>
      <c r="G12" s="35">
        <v>2.59</v>
      </c>
      <c r="H12" s="37">
        <v>0.20784175720146303</v>
      </c>
      <c r="I12" s="37">
        <v>0.18730368401542113</v>
      </c>
      <c r="J12" s="34">
        <v>5.2565596106053922E-2</v>
      </c>
      <c r="K12" s="34">
        <v>5.7984445909853915E-3</v>
      </c>
      <c r="L12" s="35">
        <v>2.63</v>
      </c>
      <c r="M12" s="37">
        <v>0.16678987008129448</v>
      </c>
      <c r="N12" s="37">
        <v>0.11491708032965352</v>
      </c>
      <c r="O12" s="34">
        <v>5.084998258329259E-2</v>
      </c>
      <c r="P12" s="34">
        <v>4.0124663854833797E-3</v>
      </c>
      <c r="Q12" s="35">
        <v>2.57</v>
      </c>
      <c r="R12" s="37">
        <v>0.49532459934131928</v>
      </c>
      <c r="S12" s="37">
        <v>0.44630537020073846</v>
      </c>
      <c r="U12" s="10"/>
      <c r="V12" s="3">
        <v>0.2</v>
      </c>
      <c r="W12" s="4">
        <v>0.2</v>
      </c>
      <c r="X12" s="23">
        <f>AVERAGE(G21,G25,L21,L25,Q21,Q25)</f>
        <v>2.8841666666666672</v>
      </c>
    </row>
    <row r="13" spans="1:24" x14ac:dyDescent="0.25">
      <c r="A13" s="14"/>
      <c r="B13" s="7"/>
      <c r="C13" s="3">
        <v>0.2</v>
      </c>
      <c r="D13" s="4">
        <v>0.2</v>
      </c>
      <c r="E13" s="34">
        <v>4.7384266925271895E-2</v>
      </c>
      <c r="F13" s="34">
        <v>5.5308548331827198E-3</v>
      </c>
      <c r="G13" s="35">
        <v>2.39</v>
      </c>
      <c r="H13" s="37">
        <v>0.99429700338021121</v>
      </c>
      <c r="I13" s="37">
        <v>0.69381125830990209</v>
      </c>
      <c r="J13" s="34">
        <v>5.2748570518296782E-2</v>
      </c>
      <c r="K13" s="34">
        <v>5.8528638854070964E-3</v>
      </c>
      <c r="L13" s="35">
        <v>2.3250000000000002</v>
      </c>
      <c r="M13" s="38" t="s">
        <v>17</v>
      </c>
      <c r="N13" s="38" t="s">
        <v>17</v>
      </c>
      <c r="O13" s="34">
        <v>5.0847298212776379E-2</v>
      </c>
      <c r="P13" s="34">
        <v>4.2040827440263271E-3</v>
      </c>
      <c r="Q13" s="35">
        <v>2.5249999999999999</v>
      </c>
      <c r="R13" s="37">
        <v>0.51061175352793464</v>
      </c>
      <c r="S13" s="37">
        <v>0.55080828922286917</v>
      </c>
      <c r="U13" s="11"/>
      <c r="V13" s="5">
        <v>0.2</v>
      </c>
      <c r="W13" s="18" t="s">
        <v>7</v>
      </c>
      <c r="X13" s="24">
        <f>AVERAGE(G22,G26,L22,L26,Q22,Q26)</f>
        <v>2.1966666666666668</v>
      </c>
    </row>
    <row r="14" spans="1:24" x14ac:dyDescent="0.25">
      <c r="A14" s="16"/>
      <c r="B14" s="15"/>
      <c r="C14" s="5">
        <v>0.2</v>
      </c>
      <c r="D14" s="18" t="s">
        <v>7</v>
      </c>
      <c r="E14" s="34">
        <v>4.7269557029669028E-2</v>
      </c>
      <c r="F14" s="34">
        <v>5.4980393060631398E-3</v>
      </c>
      <c r="G14" s="35">
        <v>2.6349999999999998</v>
      </c>
      <c r="H14" s="37">
        <v>0.37869831067816717</v>
      </c>
      <c r="I14" s="37">
        <v>0.29511345405131933</v>
      </c>
      <c r="J14" s="34">
        <v>5.2576240238775489E-2</v>
      </c>
      <c r="K14" s="34">
        <v>5.6959931524347036E-3</v>
      </c>
      <c r="L14" s="35">
        <v>2.5950000000000002</v>
      </c>
      <c r="M14" s="37">
        <v>0.19898944919997785</v>
      </c>
      <c r="N14" s="37">
        <v>0.18274491607340329</v>
      </c>
      <c r="O14" s="34">
        <v>5.0923337431683272E-2</v>
      </c>
      <c r="P14" s="34">
        <v>4.0425292961474325E-3</v>
      </c>
      <c r="Q14" s="35">
        <v>2.4700000000000002</v>
      </c>
      <c r="R14" s="37">
        <v>0.97498688824504709</v>
      </c>
      <c r="S14" s="37">
        <v>0.9794268828765077</v>
      </c>
      <c r="U14" s="9" t="s">
        <v>14</v>
      </c>
      <c r="V14" s="1">
        <v>0.2</v>
      </c>
      <c r="W14" s="2">
        <v>0</v>
      </c>
      <c r="X14" s="22">
        <f>AVERAGE(G27,G31,L27,L31,Q27,Q31)</f>
        <v>2.5024999999999999</v>
      </c>
    </row>
    <row r="15" spans="1:24" x14ac:dyDescent="0.25">
      <c r="A15" s="14"/>
      <c r="B15" s="6" t="s">
        <v>14</v>
      </c>
      <c r="C15" s="1">
        <v>0.2</v>
      </c>
      <c r="D15" s="2">
        <v>0</v>
      </c>
      <c r="E15" s="34">
        <v>1.6744277483771934E-2</v>
      </c>
      <c r="F15" s="34">
        <v>9.2048011777040289E-3</v>
      </c>
      <c r="G15" s="35">
        <v>2.4350000000000001</v>
      </c>
      <c r="H15" s="38" t="s">
        <v>17</v>
      </c>
      <c r="I15" s="38" t="s">
        <v>17</v>
      </c>
      <c r="J15" s="34">
        <v>2.0863479291144463E-2</v>
      </c>
      <c r="K15" s="34">
        <v>1.0170454533495415E-2</v>
      </c>
      <c r="L15" s="35">
        <v>2.4849999999999999</v>
      </c>
      <c r="M15" s="37">
        <v>0.52932756479172038</v>
      </c>
      <c r="N15" s="37">
        <v>0.45248778628402214</v>
      </c>
      <c r="O15" s="34">
        <v>2.1919454813321904E-2</v>
      </c>
      <c r="P15" s="34">
        <v>9.7275250529549363E-3</v>
      </c>
      <c r="Q15" s="35">
        <v>2.65</v>
      </c>
      <c r="R15" s="37">
        <v>0.27383677315146815</v>
      </c>
      <c r="S15" s="37">
        <v>0.28415225885698769</v>
      </c>
      <c r="U15" s="10"/>
      <c r="V15" s="3">
        <v>0.2</v>
      </c>
      <c r="W15" s="4">
        <v>0.1</v>
      </c>
      <c r="X15" s="23">
        <f>AVERAGE(G28,G32,L28,L32,Q28,Q32)</f>
        <v>2.5524999999999998</v>
      </c>
    </row>
    <row r="16" spans="1:24" x14ac:dyDescent="0.25">
      <c r="A16" s="14"/>
      <c r="B16" s="7"/>
      <c r="C16" s="3">
        <v>0.2</v>
      </c>
      <c r="D16" s="4">
        <v>0.1</v>
      </c>
      <c r="E16" s="34">
        <v>1.6701167911938142E-2</v>
      </c>
      <c r="F16" s="34">
        <v>9.135772632567752E-3</v>
      </c>
      <c r="G16" s="35">
        <v>2.4700000000000002</v>
      </c>
      <c r="H16" s="37">
        <v>0.29659068341864736</v>
      </c>
      <c r="I16" s="37">
        <v>0.36493659541727641</v>
      </c>
      <c r="J16" s="34">
        <v>2.0893797632289636E-2</v>
      </c>
      <c r="K16" s="34">
        <v>1.0209993720890513E-2</v>
      </c>
      <c r="L16" s="35">
        <v>2.37</v>
      </c>
      <c r="M16" s="37"/>
      <c r="N16" s="37"/>
      <c r="O16" s="34">
        <v>2.1996540141951043E-2</v>
      </c>
      <c r="P16" s="34">
        <v>9.7844982252421747E-3</v>
      </c>
      <c r="Q16" s="35">
        <v>2.355</v>
      </c>
      <c r="R16" s="38" t="s">
        <v>17</v>
      </c>
      <c r="S16" s="38" t="s">
        <v>17</v>
      </c>
      <c r="U16" s="10"/>
      <c r="V16" s="3">
        <v>0.2</v>
      </c>
      <c r="W16" s="4">
        <v>0.2</v>
      </c>
      <c r="X16" s="23">
        <f>AVERAGE(G29,G33,L29,L33,Q29,Q33)</f>
        <v>2.8324999999999996</v>
      </c>
    </row>
    <row r="17" spans="1:24" x14ac:dyDescent="0.25">
      <c r="A17" s="16"/>
      <c r="B17" s="7"/>
      <c r="C17" s="3">
        <v>0.2</v>
      </c>
      <c r="D17" s="4">
        <v>0.2</v>
      </c>
      <c r="E17" s="34">
        <v>1.674783999949055E-2</v>
      </c>
      <c r="F17" s="34">
        <v>9.2660556355499014E-3</v>
      </c>
      <c r="G17" s="35">
        <v>2.4700000000000002</v>
      </c>
      <c r="H17" s="37">
        <v>0.94874611367763617</v>
      </c>
      <c r="I17" s="37">
        <v>0.84058753917170193</v>
      </c>
      <c r="J17" s="34">
        <v>2.0863412968113639E-2</v>
      </c>
      <c r="K17" s="34">
        <v>1.0204886250699095E-2</v>
      </c>
      <c r="L17" s="35">
        <v>2.6749999999999998</v>
      </c>
      <c r="M17" s="37">
        <v>0.52605685453333029</v>
      </c>
      <c r="N17" s="37">
        <v>0.24447549932248075</v>
      </c>
      <c r="O17" s="34">
        <v>2.2009649809231081E-2</v>
      </c>
      <c r="P17" s="34">
        <v>9.7763922463535054E-3</v>
      </c>
      <c r="Q17" s="35">
        <v>2.52</v>
      </c>
      <c r="R17" s="37">
        <v>0.83152477724147067</v>
      </c>
      <c r="S17" s="37">
        <v>0.72451708402777615</v>
      </c>
      <c r="U17" s="11"/>
      <c r="V17" s="5">
        <v>0.2</v>
      </c>
      <c r="W17" s="18" t="s">
        <v>7</v>
      </c>
      <c r="X17" s="24">
        <f>AVERAGE(G30,G34,L30,L34,Q30,Q34)</f>
        <v>2.1125000000000003</v>
      </c>
    </row>
    <row r="18" spans="1:24" x14ac:dyDescent="0.25">
      <c r="A18" s="16"/>
      <c r="B18" s="15"/>
      <c r="C18" s="5">
        <v>0.2</v>
      </c>
      <c r="D18" s="18" t="s">
        <v>7</v>
      </c>
      <c r="E18" s="34">
        <v>1.6653781775349118E-2</v>
      </c>
      <c r="F18" s="34">
        <v>9.1578110089201338E-3</v>
      </c>
      <c r="G18" s="35">
        <v>2.625</v>
      </c>
      <c r="H18" s="37">
        <v>5.2996911551338614E-2</v>
      </c>
      <c r="I18" s="37">
        <v>7.5185166306489554E-2</v>
      </c>
      <c r="J18" s="34">
        <v>2.0870669573100624E-2</v>
      </c>
      <c r="K18" s="34">
        <v>1.0215487254690641E-2</v>
      </c>
      <c r="L18" s="35">
        <v>2.4700000000000002</v>
      </c>
      <c r="M18" s="37">
        <v>0.66968821449274796</v>
      </c>
      <c r="N18" s="37">
        <v>0.58813807890440017</v>
      </c>
      <c r="O18" s="34">
        <v>2.1972609917730899E-2</v>
      </c>
      <c r="P18" s="34">
        <v>9.773811229462118E-3</v>
      </c>
      <c r="Q18" s="35">
        <v>2.4750000000000001</v>
      </c>
      <c r="R18" s="37">
        <v>0.68696909287965346</v>
      </c>
      <c r="S18" s="37">
        <v>0.46920855904032432</v>
      </c>
    </row>
    <row r="19" spans="1:24" x14ac:dyDescent="0.25">
      <c r="A19" s="13" t="s">
        <v>12</v>
      </c>
      <c r="B19" s="6" t="s">
        <v>13</v>
      </c>
      <c r="C19" s="1">
        <v>0.2</v>
      </c>
      <c r="D19" s="2">
        <v>0</v>
      </c>
      <c r="E19" s="34">
        <v>0.10535252177553604</v>
      </c>
      <c r="F19" s="34">
        <v>7.0178292318044564E-3</v>
      </c>
      <c r="G19" s="35">
        <v>2.06</v>
      </c>
      <c r="H19" s="38" t="s">
        <v>17</v>
      </c>
      <c r="I19" s="38" t="s">
        <v>17</v>
      </c>
      <c r="J19" s="34">
        <v>0.10822920751568249</v>
      </c>
      <c r="K19" s="34">
        <v>1.0518934749583812E-2</v>
      </c>
      <c r="L19" s="35">
        <v>2.46</v>
      </c>
      <c r="M19" s="37">
        <v>6.8352615092436439E-2</v>
      </c>
      <c r="N19" s="37">
        <v>9.3030945590660039E-2</v>
      </c>
      <c r="O19" s="34">
        <v>0.1142466894801429</v>
      </c>
      <c r="P19" s="34">
        <v>1.072362920899525E-2</v>
      </c>
      <c r="Q19" s="35">
        <v>2.1150000000000002</v>
      </c>
      <c r="R19" s="37">
        <v>0.95027655517419507</v>
      </c>
      <c r="S19" s="37">
        <v>0.84866111185882454</v>
      </c>
    </row>
    <row r="20" spans="1:24" x14ac:dyDescent="0.25">
      <c r="A20" s="14"/>
      <c r="B20" s="7"/>
      <c r="C20" s="3">
        <v>0.2</v>
      </c>
      <c r="D20" s="4">
        <v>0.1</v>
      </c>
      <c r="E20" s="34">
        <v>0.10462739388076266</v>
      </c>
      <c r="F20" s="34">
        <v>7.5218973453142039E-3</v>
      </c>
      <c r="G20" s="35">
        <v>2.6549999999999998</v>
      </c>
      <c r="H20" s="37">
        <v>8.6431054220429283E-4</v>
      </c>
      <c r="I20" s="37">
        <v>1.3773245819919185E-3</v>
      </c>
      <c r="J20" s="34">
        <v>0.1078131802768492</v>
      </c>
      <c r="K20" s="34">
        <v>1.0160488133339501E-2</v>
      </c>
      <c r="L20" s="35">
        <v>2.6549999999999998</v>
      </c>
      <c r="M20" s="37">
        <v>3.5008935835996138E-4</v>
      </c>
      <c r="N20" s="37">
        <v>9.0113378983068591E-4</v>
      </c>
      <c r="O20" s="34">
        <v>0.11326773131082327</v>
      </c>
      <c r="P20" s="34">
        <v>1.0111640884360392E-2</v>
      </c>
      <c r="Q20" s="35">
        <v>2.81</v>
      </c>
      <c r="R20" s="37">
        <v>3.7277312953365461E-5</v>
      </c>
      <c r="S20" s="37">
        <v>5.4631558912206284E-5</v>
      </c>
    </row>
    <row r="21" spans="1:24" x14ac:dyDescent="0.25">
      <c r="A21" s="14"/>
      <c r="B21" s="7"/>
      <c r="C21" s="3">
        <v>0.2</v>
      </c>
      <c r="D21" s="4">
        <v>0.2</v>
      </c>
      <c r="E21" s="34">
        <v>0.1040003933414787</v>
      </c>
      <c r="F21" s="34">
        <v>7.400546998908894E-3</v>
      </c>
      <c r="G21" s="35">
        <v>3.06</v>
      </c>
      <c r="H21" s="37">
        <v>7.8686789555812592E-9</v>
      </c>
      <c r="I21" s="37">
        <v>6.175541635966623E-8</v>
      </c>
      <c r="J21" s="34">
        <v>0.10769165055674071</v>
      </c>
      <c r="K21" s="34">
        <v>1.0473190022810641E-2</v>
      </c>
      <c r="L21" s="35">
        <v>2.81</v>
      </c>
      <c r="M21" s="37">
        <v>2.6987490924898417E-5</v>
      </c>
      <c r="N21" s="37">
        <v>8.0791689258466511E-5</v>
      </c>
      <c r="O21" s="34">
        <v>0.11285922794625027</v>
      </c>
      <c r="P21" s="34">
        <v>1.0243458881260145E-2</v>
      </c>
      <c r="Q21" s="35">
        <v>2.99</v>
      </c>
      <c r="R21" s="37">
        <v>1.1530298150851666E-8</v>
      </c>
      <c r="S21" s="37">
        <v>1.1788873640346411E-7</v>
      </c>
    </row>
    <row r="22" spans="1:24" x14ac:dyDescent="0.25">
      <c r="A22" s="16"/>
      <c r="B22" s="15"/>
      <c r="C22" s="5">
        <v>0.2</v>
      </c>
      <c r="D22" s="18" t="s">
        <v>7</v>
      </c>
      <c r="E22" s="34">
        <v>0.10535560445170057</v>
      </c>
      <c r="F22" s="34">
        <v>7.3993090053233752E-3</v>
      </c>
      <c r="G22" s="35">
        <v>2.2250000000000001</v>
      </c>
      <c r="H22" s="37">
        <v>0.98881836963657765</v>
      </c>
      <c r="I22" s="37">
        <v>0.59050950497095889</v>
      </c>
      <c r="J22" s="34">
        <v>0.10865918806074046</v>
      </c>
      <c r="K22" s="34">
        <v>1.0521952654858556E-2</v>
      </c>
      <c r="L22" s="35">
        <v>2.0750000000000002</v>
      </c>
      <c r="M22" s="38" t="s">
        <v>17</v>
      </c>
      <c r="N22" s="38" t="s">
        <v>17</v>
      </c>
      <c r="O22" s="34">
        <v>0.11426168174597195</v>
      </c>
      <c r="P22" s="34">
        <v>1.0443224467436382E-2</v>
      </c>
      <c r="Q22" s="35">
        <v>2.085</v>
      </c>
      <c r="R22" s="38" t="s">
        <v>17</v>
      </c>
      <c r="S22" s="38" t="s">
        <v>17</v>
      </c>
      <c r="V22" s="28" t="s">
        <v>1</v>
      </c>
      <c r="W22" s="28" t="s">
        <v>2</v>
      </c>
      <c r="X22" s="29" t="s">
        <v>6</v>
      </c>
    </row>
    <row r="23" spans="1:24" x14ac:dyDescent="0.25">
      <c r="A23" s="14"/>
      <c r="B23" s="6" t="s">
        <v>14</v>
      </c>
      <c r="C23" s="1">
        <v>0.2</v>
      </c>
      <c r="D23" s="2">
        <v>0</v>
      </c>
      <c r="E23" s="34">
        <v>4.0472073451856744E-2</v>
      </c>
      <c r="F23" s="34">
        <v>1.7601768445326869E-2</v>
      </c>
      <c r="G23" s="35">
        <v>1.7549999999999999</v>
      </c>
      <c r="H23" s="38" t="s">
        <v>17</v>
      </c>
      <c r="I23" s="38" t="s">
        <v>17</v>
      </c>
      <c r="J23" s="34">
        <v>5.6877771926258626E-2</v>
      </c>
      <c r="K23" s="34">
        <v>1.9232669142742416E-2</v>
      </c>
      <c r="L23" s="35">
        <v>2.3849999999999998</v>
      </c>
      <c r="M23" s="38" t="s">
        <v>17</v>
      </c>
      <c r="N23" s="38" t="s">
        <v>17</v>
      </c>
      <c r="O23" s="34">
        <v>5.9930219058944377E-2</v>
      </c>
      <c r="P23" s="34">
        <v>1.8720706111048025E-2</v>
      </c>
      <c r="Q23" s="35">
        <v>2.2850000000000001</v>
      </c>
      <c r="R23" s="37">
        <v>0.26642773053226498</v>
      </c>
      <c r="S23" s="37">
        <v>0.40246211767328371</v>
      </c>
      <c r="V23" s="1">
        <v>0.2</v>
      </c>
      <c r="W23" s="2">
        <v>0</v>
      </c>
      <c r="X23" s="30">
        <f>AVERAGE(X2,X6,X10,X14)</f>
        <v>2.4550000000000001</v>
      </c>
    </row>
    <row r="24" spans="1:24" x14ac:dyDescent="0.25">
      <c r="A24" s="14"/>
      <c r="B24" s="7"/>
      <c r="C24" s="3">
        <v>0.2</v>
      </c>
      <c r="D24" s="4">
        <v>0.1</v>
      </c>
      <c r="E24" s="34">
        <v>3.9914079343682983E-2</v>
      </c>
      <c r="F24" s="34">
        <v>1.7593841871696197E-2</v>
      </c>
      <c r="G24" s="35">
        <v>2.82</v>
      </c>
      <c r="H24" s="37">
        <v>1.4672741224362107E-9</v>
      </c>
      <c r="I24" s="37">
        <v>3.6694041534437351E-9</v>
      </c>
      <c r="J24" s="34">
        <v>5.6604296612290383E-2</v>
      </c>
      <c r="K24" s="34">
        <v>1.9290208730069654E-2</v>
      </c>
      <c r="L24" s="35">
        <v>2.59</v>
      </c>
      <c r="M24" s="37">
        <v>1.8178126890633754E-2</v>
      </c>
      <c r="N24" s="37">
        <v>2.1728434992806796E-2</v>
      </c>
      <c r="O24" s="34">
        <v>5.9455307985336686E-2</v>
      </c>
      <c r="P24" s="34">
        <v>1.8721382563971222E-2</v>
      </c>
      <c r="Q24" s="35">
        <v>2.9249999999999998</v>
      </c>
      <c r="R24" s="37">
        <v>9.537677568912385E-6</v>
      </c>
      <c r="S24" s="37">
        <v>7.7657800437437745E-6</v>
      </c>
      <c r="V24" s="3">
        <v>0.2</v>
      </c>
      <c r="W24" s="4">
        <v>0.1</v>
      </c>
      <c r="X24" s="31">
        <f t="shared" ref="X24:X26" si="0">AVERAGE(X3,X7,X11,X15)</f>
        <v>2.5689583333333332</v>
      </c>
    </row>
    <row r="25" spans="1:24" x14ac:dyDescent="0.25">
      <c r="A25" s="16"/>
      <c r="B25" s="7"/>
      <c r="C25" s="3">
        <v>0.2</v>
      </c>
      <c r="D25" s="4">
        <v>0.2</v>
      </c>
      <c r="E25" s="34">
        <v>3.9773094921563126E-2</v>
      </c>
      <c r="F25" s="34">
        <v>1.7604211377489888E-2</v>
      </c>
      <c r="G25" s="35">
        <v>3.08</v>
      </c>
      <c r="H25" s="37">
        <v>3.2278135938832876E-11</v>
      </c>
      <c r="I25" s="37">
        <v>4.8128846612800458E-10</v>
      </c>
      <c r="J25" s="34">
        <v>5.669678065703463E-2</v>
      </c>
      <c r="K25" s="34">
        <v>1.937692858444743E-2</v>
      </c>
      <c r="L25" s="35">
        <v>2.5950000000000002</v>
      </c>
      <c r="M25" s="37">
        <v>9.1850480740064744E-2</v>
      </c>
      <c r="N25" s="37">
        <v>0.13882018854257663</v>
      </c>
      <c r="O25" s="34">
        <v>5.9532584134915342E-2</v>
      </c>
      <c r="P25" s="34">
        <v>1.8810346893941531E-2</v>
      </c>
      <c r="Q25" s="35">
        <v>2.77</v>
      </c>
      <c r="R25" s="37">
        <v>1.2420808860181345E-5</v>
      </c>
      <c r="S25" s="37">
        <v>2.223539743032388E-5</v>
      </c>
      <c r="V25" s="3">
        <v>0.2</v>
      </c>
      <c r="W25" s="4">
        <v>0.2</v>
      </c>
      <c r="X25" s="31">
        <f t="shared" si="0"/>
        <v>2.6487500000000002</v>
      </c>
    </row>
    <row r="26" spans="1:24" x14ac:dyDescent="0.25">
      <c r="A26" s="16"/>
      <c r="B26" s="15"/>
      <c r="C26" s="5">
        <v>0.2</v>
      </c>
      <c r="D26" s="18" t="s">
        <v>7</v>
      </c>
      <c r="E26" s="34">
        <v>4.015284669620911E-2</v>
      </c>
      <c r="F26" s="34">
        <v>1.7702258080593131E-2</v>
      </c>
      <c r="G26" s="35">
        <v>2.3450000000000002</v>
      </c>
      <c r="H26" s="37">
        <v>8.4440941534930742E-4</v>
      </c>
      <c r="I26" s="37">
        <v>4.9897899705372189E-4</v>
      </c>
      <c r="J26" s="34">
        <v>5.6802563776639191E-2</v>
      </c>
      <c r="K26" s="34">
        <v>1.935285774302942E-2</v>
      </c>
      <c r="L26" s="35">
        <v>2.4300000000000002</v>
      </c>
      <c r="M26" s="37">
        <v>0.54710078542564089</v>
      </c>
      <c r="N26" s="37">
        <v>0.46080577256201399</v>
      </c>
      <c r="O26" s="34">
        <v>6.0079285207334507E-2</v>
      </c>
      <c r="P26" s="34">
        <v>1.8831920314563318E-2</v>
      </c>
      <c r="Q26" s="35">
        <v>2.02</v>
      </c>
      <c r="R26" s="38" t="s">
        <v>17</v>
      </c>
      <c r="S26" s="38" t="s">
        <v>17</v>
      </c>
      <c r="V26" s="5">
        <v>0.2</v>
      </c>
      <c r="W26" s="18" t="s">
        <v>7</v>
      </c>
      <c r="X26" s="32">
        <f t="shared" si="0"/>
        <v>2.327291666666667</v>
      </c>
    </row>
    <row r="27" spans="1:24" x14ac:dyDescent="0.25">
      <c r="A27" s="13" t="s">
        <v>14</v>
      </c>
      <c r="B27" s="6" t="s">
        <v>13</v>
      </c>
      <c r="C27" s="1">
        <v>0.2</v>
      </c>
      <c r="D27" s="2">
        <v>0</v>
      </c>
      <c r="E27" s="34">
        <v>0.15486924682646461</v>
      </c>
      <c r="F27" s="34">
        <v>9.9907194982055431E-3</v>
      </c>
      <c r="G27" s="35">
        <v>2.5449999999999999</v>
      </c>
      <c r="H27" s="37">
        <v>1.0700291181862638E-2</v>
      </c>
      <c r="I27" s="37">
        <v>1.1783147270221851E-2</v>
      </c>
      <c r="J27" s="34">
        <v>0.15371365353191213</v>
      </c>
      <c r="K27" s="34">
        <v>1.4207988027754005E-2</v>
      </c>
      <c r="L27" s="35">
        <v>2.5499999999999998</v>
      </c>
      <c r="M27" s="37">
        <v>1.2641271481995633E-2</v>
      </c>
      <c r="N27" s="37">
        <v>2.6927854758009705E-2</v>
      </c>
      <c r="O27" s="34">
        <v>0.15634490601295747</v>
      </c>
      <c r="P27" s="34">
        <v>8.5090109018964178E-3</v>
      </c>
      <c r="Q27" s="35">
        <v>2.61</v>
      </c>
      <c r="R27" s="37">
        <v>1.9219670078482591E-3</v>
      </c>
      <c r="S27" s="37">
        <v>4.7342058004473725E-3</v>
      </c>
    </row>
    <row r="28" spans="1:24" x14ac:dyDescent="0.25">
      <c r="A28" s="14"/>
      <c r="B28" s="7"/>
      <c r="C28" s="3">
        <v>0.2</v>
      </c>
      <c r="D28" s="4">
        <v>0.1</v>
      </c>
      <c r="E28" s="34">
        <v>0.15487656204124853</v>
      </c>
      <c r="F28" s="34">
        <v>9.9238974741032524E-3</v>
      </c>
      <c r="G28" s="35">
        <v>2.63</v>
      </c>
      <c r="H28" s="37">
        <v>6.1041971817466607E-3</v>
      </c>
      <c r="I28" s="37">
        <v>1.0826148204718777E-3</v>
      </c>
      <c r="J28" s="34">
        <v>0.15400573366168654</v>
      </c>
      <c r="K28" s="34">
        <v>1.4416362828647163E-2</v>
      </c>
      <c r="L28" s="35">
        <v>2.5</v>
      </c>
      <c r="M28" s="37">
        <v>0.15162757929964579</v>
      </c>
      <c r="N28" s="37">
        <v>0.17716277858395404</v>
      </c>
      <c r="O28" s="34">
        <v>0.15708264966105567</v>
      </c>
      <c r="P28" s="34">
        <v>8.5006105718926674E-3</v>
      </c>
      <c r="Q28" s="35">
        <v>2.3250000000000002</v>
      </c>
      <c r="R28" s="37">
        <v>0.58681474923260024</v>
      </c>
      <c r="S28" s="37">
        <v>0.62416129109691187</v>
      </c>
    </row>
    <row r="29" spans="1:24" x14ac:dyDescent="0.25">
      <c r="A29" s="14"/>
      <c r="B29" s="7"/>
      <c r="C29" s="3">
        <v>0.2</v>
      </c>
      <c r="D29" s="4">
        <v>0.2</v>
      </c>
      <c r="E29" s="34">
        <v>0.15437605549760383</v>
      </c>
      <c r="F29" s="34">
        <v>9.5855201186622156E-3</v>
      </c>
      <c r="G29" s="35">
        <v>2.7749999999999999</v>
      </c>
      <c r="H29" s="37">
        <v>1.5287924733929057E-5</v>
      </c>
      <c r="I29" s="37">
        <v>4.0669892077942427E-5</v>
      </c>
      <c r="J29" s="34">
        <v>0.15366785204682304</v>
      </c>
      <c r="K29" s="34">
        <v>1.4323797599854369E-2</v>
      </c>
      <c r="L29" s="35">
        <v>2.68</v>
      </c>
      <c r="M29" s="37">
        <v>6.4856227783654978E-3</v>
      </c>
      <c r="N29" s="37">
        <v>6.3659604115049416E-3</v>
      </c>
      <c r="O29" s="34">
        <v>0.15610218285085817</v>
      </c>
      <c r="P29" s="34">
        <v>8.6482908215268234E-3</v>
      </c>
      <c r="Q29" s="35">
        <v>2.86</v>
      </c>
      <c r="R29" s="37">
        <v>5.6545194380836176E-5</v>
      </c>
      <c r="S29" s="37">
        <v>1.4812534337622444E-4</v>
      </c>
    </row>
    <row r="30" spans="1:24" x14ac:dyDescent="0.25">
      <c r="A30" s="16"/>
      <c r="B30" s="15"/>
      <c r="C30" s="5">
        <v>0.2</v>
      </c>
      <c r="D30" s="18" t="s">
        <v>7</v>
      </c>
      <c r="E30" s="34">
        <v>0.15560224917118845</v>
      </c>
      <c r="F30" s="34">
        <v>9.3200642357065492E-3</v>
      </c>
      <c r="G30" s="35">
        <v>2.0499999999999998</v>
      </c>
      <c r="H30" s="38" t="s">
        <v>17</v>
      </c>
      <c r="I30" s="38" t="s">
        <v>17</v>
      </c>
      <c r="J30" s="34">
        <v>0.15449006335098558</v>
      </c>
      <c r="K30" s="34">
        <v>1.3949255529558044E-2</v>
      </c>
      <c r="L30" s="35">
        <v>2.27</v>
      </c>
      <c r="M30" s="38" t="s">
        <v>17</v>
      </c>
      <c r="N30" s="38" t="s">
        <v>17</v>
      </c>
      <c r="O30" s="34">
        <v>0.15723315171247798</v>
      </c>
      <c r="P30" s="34">
        <v>8.5759988488779051E-3</v>
      </c>
      <c r="Q30" s="35">
        <v>2.2050000000000001</v>
      </c>
      <c r="R30" s="38" t="s">
        <v>17</v>
      </c>
      <c r="S30" s="38" t="s">
        <v>17</v>
      </c>
    </row>
    <row r="31" spans="1:24" x14ac:dyDescent="0.25">
      <c r="A31" s="14"/>
      <c r="B31" s="6" t="s">
        <v>14</v>
      </c>
      <c r="C31" s="1">
        <v>0.2</v>
      </c>
      <c r="D31" s="2">
        <v>0</v>
      </c>
      <c r="E31" s="34">
        <v>6.9086980882872989E-2</v>
      </c>
      <c r="F31" s="34">
        <v>2.4444237922983458E-2</v>
      </c>
      <c r="G31" s="35">
        <v>2.11</v>
      </c>
      <c r="H31" s="37">
        <v>6.2645422699420403E-2</v>
      </c>
      <c r="I31" s="37">
        <v>0.10351495985499136</v>
      </c>
      <c r="J31" s="34">
        <v>8.6839562612462992E-2</v>
      </c>
      <c r="K31" s="34">
        <v>2.2677938894496034E-2</v>
      </c>
      <c r="L31" s="35">
        <v>2.85</v>
      </c>
      <c r="M31" s="37">
        <v>3.1652976563952614E-4</v>
      </c>
      <c r="N31" s="37">
        <v>8.7919003985762639E-4</v>
      </c>
      <c r="O31" s="34">
        <v>9.4076380974632515E-2</v>
      </c>
      <c r="P31" s="34">
        <v>2.3990324275162317E-2</v>
      </c>
      <c r="Q31" s="35">
        <v>2.35</v>
      </c>
      <c r="R31" s="37">
        <v>0.35173518564841688</v>
      </c>
      <c r="S31" s="37">
        <v>0.22158494467999149</v>
      </c>
    </row>
    <row r="32" spans="1:24" x14ac:dyDescent="0.25">
      <c r="A32" s="14"/>
      <c r="B32" s="7"/>
      <c r="C32" s="3">
        <v>0.2</v>
      </c>
      <c r="D32" s="4">
        <v>0.1</v>
      </c>
      <c r="E32" s="34">
        <v>6.8856621259795192E-2</v>
      </c>
      <c r="F32" s="34">
        <v>2.3853696889234388E-2</v>
      </c>
      <c r="G32" s="35">
        <v>2.915</v>
      </c>
      <c r="H32" s="37">
        <v>1.3907881026942982E-7</v>
      </c>
      <c r="I32" s="37">
        <v>3.7329998698046102E-8</v>
      </c>
      <c r="J32" s="34">
        <v>8.7220829929426383E-2</v>
      </c>
      <c r="K32" s="34">
        <v>2.228865015575919E-2</v>
      </c>
      <c r="L32" s="35">
        <v>2.4350000000000001</v>
      </c>
      <c r="M32" s="37">
        <v>0.12004044839681403</v>
      </c>
      <c r="N32" s="37">
        <v>0.13162993160591097</v>
      </c>
      <c r="O32" s="34">
        <v>9.3834910749687556E-2</v>
      </c>
      <c r="P32" s="34">
        <v>2.3814017447571827E-2</v>
      </c>
      <c r="Q32" s="35">
        <v>2.5099999999999998</v>
      </c>
      <c r="R32" s="37">
        <v>1.9772580514773645E-2</v>
      </c>
      <c r="S32" s="37">
        <v>1.3365655481714601E-2</v>
      </c>
    </row>
    <row r="33" spans="1:19" x14ac:dyDescent="0.25">
      <c r="A33" s="16"/>
      <c r="B33" s="7"/>
      <c r="C33" s="3">
        <v>0.2</v>
      </c>
      <c r="D33" s="4">
        <v>0.2</v>
      </c>
      <c r="E33" s="34">
        <v>6.867811189053713E-2</v>
      </c>
      <c r="F33" s="34">
        <v>2.3968625635519099E-2</v>
      </c>
      <c r="G33" s="35">
        <v>3.125</v>
      </c>
      <c r="H33" s="37">
        <v>3.3846258471913426E-9</v>
      </c>
      <c r="I33" s="37">
        <v>8.7137264855095013E-9</v>
      </c>
      <c r="J33" s="34">
        <v>8.7062852098920562E-2</v>
      </c>
      <c r="K33" s="34">
        <v>2.2147946076791443E-2</v>
      </c>
      <c r="L33" s="35">
        <v>2.5550000000000002</v>
      </c>
      <c r="M33" s="37">
        <v>1.6122584914373971E-2</v>
      </c>
      <c r="N33" s="37">
        <v>2.2125575002701119E-2</v>
      </c>
      <c r="O33" s="34">
        <v>9.3511720591994058E-2</v>
      </c>
      <c r="P33" s="34">
        <v>2.3776851411139326E-2</v>
      </c>
      <c r="Q33" s="35">
        <v>3</v>
      </c>
      <c r="R33" s="37">
        <v>5.0785825349496979E-6</v>
      </c>
      <c r="S33" s="37">
        <v>5.7095376429251075E-6</v>
      </c>
    </row>
    <row r="34" spans="1:19" x14ac:dyDescent="0.25">
      <c r="A34" s="17"/>
      <c r="B34" s="15"/>
      <c r="C34" s="5">
        <v>0.2</v>
      </c>
      <c r="D34" s="18" t="s">
        <v>7</v>
      </c>
      <c r="E34" s="34">
        <v>6.96372237764325E-2</v>
      </c>
      <c r="F34" s="34">
        <v>2.3884121524446709E-2</v>
      </c>
      <c r="G34" s="35">
        <v>1.85</v>
      </c>
      <c r="H34" s="38" t="s">
        <v>17</v>
      </c>
      <c r="I34" s="38" t="s">
        <v>17</v>
      </c>
      <c r="J34" s="34">
        <v>8.7472630045984975E-2</v>
      </c>
      <c r="K34" s="34">
        <v>2.2317207201268209E-2</v>
      </c>
      <c r="L34" s="35">
        <v>2.16</v>
      </c>
      <c r="M34" s="38" t="s">
        <v>17</v>
      </c>
      <c r="N34" s="38" t="s">
        <v>17</v>
      </c>
      <c r="O34" s="34">
        <v>9.4241213757472145E-2</v>
      </c>
      <c r="P34" s="34">
        <v>2.3891240362238018E-2</v>
      </c>
      <c r="Q34" s="35">
        <v>2.14</v>
      </c>
      <c r="R34" s="38" t="s">
        <v>17</v>
      </c>
      <c r="S34" s="3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2EAF-FD87-42B1-99A5-6CD056391298}">
  <dimension ref="A1:X34"/>
  <sheetViews>
    <sheetView tabSelected="1" topLeftCell="A7" zoomScale="115" zoomScaleNormal="115" workbookViewId="0">
      <selection activeCell="AC12" sqref="AC12"/>
    </sheetView>
  </sheetViews>
  <sheetFormatPr defaultRowHeight="15" x14ac:dyDescent="0.25"/>
  <sheetData>
    <row r="1" spans="1:24" x14ac:dyDescent="0.25">
      <c r="A1" s="19" t="s">
        <v>9</v>
      </c>
      <c r="B1" s="20"/>
      <c r="C1" s="20"/>
      <c r="D1" s="20"/>
      <c r="E1" s="20" t="s">
        <v>13</v>
      </c>
      <c r="F1" s="20"/>
      <c r="G1" s="20"/>
      <c r="H1" s="20"/>
      <c r="I1" s="20"/>
      <c r="J1" s="20" t="s">
        <v>14</v>
      </c>
      <c r="K1" s="20"/>
      <c r="L1" s="20"/>
      <c r="M1" s="20"/>
      <c r="N1" s="20"/>
      <c r="O1" s="20" t="s">
        <v>8</v>
      </c>
      <c r="P1" s="20"/>
      <c r="Q1" s="20"/>
      <c r="R1" s="20"/>
      <c r="S1" s="21"/>
      <c r="U1" s="12" t="s">
        <v>3</v>
      </c>
      <c r="V1" s="12" t="s">
        <v>1</v>
      </c>
      <c r="W1" s="12" t="s">
        <v>2</v>
      </c>
      <c r="X1" s="12" t="s">
        <v>6</v>
      </c>
    </row>
    <row r="2" spans="1:24" x14ac:dyDescent="0.25">
      <c r="A2" s="8" t="s">
        <v>3</v>
      </c>
      <c r="B2" s="8" t="s">
        <v>0</v>
      </c>
      <c r="C2" s="8" t="s">
        <v>1</v>
      </c>
      <c r="D2" s="8" t="s">
        <v>2</v>
      </c>
      <c r="E2" s="8" t="s">
        <v>4</v>
      </c>
      <c r="F2" s="8" t="s">
        <v>5</v>
      </c>
      <c r="G2" s="8" t="s">
        <v>6</v>
      </c>
      <c r="H2" s="8" t="s">
        <v>15</v>
      </c>
      <c r="I2" s="8" t="s">
        <v>16</v>
      </c>
      <c r="J2" s="8" t="s">
        <v>4</v>
      </c>
      <c r="K2" s="8" t="s">
        <v>5</v>
      </c>
      <c r="L2" s="8" t="s">
        <v>6</v>
      </c>
      <c r="M2" s="33" t="s">
        <v>15</v>
      </c>
      <c r="N2" s="33" t="s">
        <v>16</v>
      </c>
      <c r="O2" s="8" t="s">
        <v>4</v>
      </c>
      <c r="P2" s="8" t="s">
        <v>5</v>
      </c>
      <c r="Q2" s="8" t="s">
        <v>6</v>
      </c>
      <c r="R2" s="36" t="s">
        <v>15</v>
      </c>
      <c r="S2" s="36" t="s">
        <v>16</v>
      </c>
      <c r="U2" s="9" t="s">
        <v>10</v>
      </c>
      <c r="V2" s="1">
        <v>0.2</v>
      </c>
      <c r="W2" s="2">
        <v>0</v>
      </c>
      <c r="X2" s="22">
        <f>AVERAGE(G3,G7,L3,L7,Q3,Q7)</f>
        <v>2.5033333333333334</v>
      </c>
    </row>
    <row r="3" spans="1:24" x14ac:dyDescent="0.25">
      <c r="A3" s="13" t="s">
        <v>10</v>
      </c>
      <c r="B3" s="6" t="s">
        <v>13</v>
      </c>
      <c r="C3" s="1">
        <v>0.2</v>
      </c>
      <c r="D3" s="2">
        <v>0</v>
      </c>
      <c r="E3" s="34">
        <v>3.4027719168115727E-4</v>
      </c>
      <c r="F3" s="34">
        <v>6.2223671620614894E-5</v>
      </c>
      <c r="G3" s="35">
        <v>2.54</v>
      </c>
      <c r="H3" s="37">
        <v>0.63070014052113865</v>
      </c>
      <c r="I3" s="37">
        <v>0.76352626813773994</v>
      </c>
      <c r="J3" s="34">
        <v>3.7321480302712014E-4</v>
      </c>
      <c r="K3" s="34">
        <v>8.5577995334688216E-5</v>
      </c>
      <c r="L3" s="35">
        <v>2.3050000000000002</v>
      </c>
      <c r="M3" s="38" t="s">
        <v>17</v>
      </c>
      <c r="N3" s="38" t="s">
        <v>17</v>
      </c>
      <c r="O3" s="34">
        <v>3.7561519834106936E-4</v>
      </c>
      <c r="P3" s="34">
        <v>7.7466662762703707E-5</v>
      </c>
      <c r="Q3" s="35">
        <v>2.5249999999999999</v>
      </c>
      <c r="R3" s="37">
        <v>0.41849727464869957</v>
      </c>
      <c r="S3" s="37">
        <v>0.83253069981514261</v>
      </c>
      <c r="U3" s="10"/>
      <c r="V3" s="3">
        <v>0.2</v>
      </c>
      <c r="W3" s="4">
        <v>0.1</v>
      </c>
      <c r="X3" s="23">
        <f t="shared" ref="X3:X5" si="0">AVERAGE(G4,G8,L4,L8,Q4,Q8)</f>
        <v>2.4791666666666665</v>
      </c>
    </row>
    <row r="4" spans="1:24" x14ac:dyDescent="0.25">
      <c r="A4" s="14"/>
      <c r="B4" s="7"/>
      <c r="C4" s="3">
        <v>0.2</v>
      </c>
      <c r="D4" s="4">
        <v>0.1</v>
      </c>
      <c r="E4" s="34">
        <v>3.3650855054792323E-4</v>
      </c>
      <c r="F4" s="34">
        <v>6.875480721812123E-5</v>
      </c>
      <c r="G4" s="35">
        <v>2.4350000000000001</v>
      </c>
      <c r="H4" s="38" t="s">
        <v>17</v>
      </c>
      <c r="I4" s="38" t="s">
        <v>17</v>
      </c>
      <c r="J4" s="34">
        <v>3.8599958606145494E-4</v>
      </c>
      <c r="K4" s="34">
        <v>8.0690630818673964E-5</v>
      </c>
      <c r="L4" s="35">
        <v>2.605</v>
      </c>
      <c r="M4" s="37">
        <v>0.13273065117903404</v>
      </c>
      <c r="N4" s="37">
        <v>0.16533077396858298</v>
      </c>
      <c r="O4" s="34">
        <v>3.7922877912688064E-4</v>
      </c>
      <c r="P4" s="34">
        <v>7.3426110918532847E-5</v>
      </c>
      <c r="Q4" s="35">
        <v>2.54</v>
      </c>
      <c r="R4" s="37">
        <v>0.68200355826236336</v>
      </c>
      <c r="S4" s="37">
        <v>0.85675059188181957</v>
      </c>
      <c r="U4" s="10"/>
      <c r="V4" s="3">
        <v>0.2</v>
      </c>
      <c r="W4" s="4">
        <v>0.2</v>
      </c>
      <c r="X4" s="23">
        <f t="shared" si="0"/>
        <v>2.4875000000000003</v>
      </c>
    </row>
    <row r="5" spans="1:24" x14ac:dyDescent="0.25">
      <c r="A5" s="14"/>
      <c r="B5" s="7"/>
      <c r="C5" s="3">
        <v>0.2</v>
      </c>
      <c r="D5" s="4">
        <v>0.2</v>
      </c>
      <c r="E5" s="34">
        <v>3.3478428402101545E-4</v>
      </c>
      <c r="F5" s="34">
        <v>6.6378271189468065E-5</v>
      </c>
      <c r="G5" s="35">
        <v>2.48</v>
      </c>
      <c r="H5" s="37">
        <v>0.83900888587988054</v>
      </c>
      <c r="I5" s="37">
        <v>0.8218156947133296</v>
      </c>
      <c r="J5" s="34">
        <v>3.8919052786743068E-4</v>
      </c>
      <c r="K5" s="34">
        <v>9.2131737244853209E-5</v>
      </c>
      <c r="L5" s="35">
        <v>2.58</v>
      </c>
      <c r="M5" s="37">
        <v>0.10035784703857109</v>
      </c>
      <c r="N5" s="37">
        <v>5.1437579233746422E-2</v>
      </c>
      <c r="O5" s="34">
        <v>3.829408829182754E-4</v>
      </c>
      <c r="P5" s="34">
        <v>8.2169263714550338E-5</v>
      </c>
      <c r="Q5" s="35">
        <v>2.4350000000000001</v>
      </c>
      <c r="R5" s="38" t="s">
        <v>17</v>
      </c>
      <c r="S5" s="38" t="s">
        <v>17</v>
      </c>
      <c r="U5" s="11"/>
      <c r="V5" s="5">
        <v>0.2</v>
      </c>
      <c r="W5" s="18" t="s">
        <v>7</v>
      </c>
      <c r="X5" s="24">
        <f t="shared" si="0"/>
        <v>2.5299999999999998</v>
      </c>
    </row>
    <row r="6" spans="1:24" x14ac:dyDescent="0.25">
      <c r="A6" s="16"/>
      <c r="B6" s="15"/>
      <c r="C6" s="5">
        <v>0.2</v>
      </c>
      <c r="D6" s="18" t="s">
        <v>7</v>
      </c>
      <c r="E6" s="34">
        <v>3.3645656076876883E-4</v>
      </c>
      <c r="F6" s="34">
        <v>6.4549571892999355E-5</v>
      </c>
      <c r="G6" s="35">
        <v>2.5449999999999999</v>
      </c>
      <c r="H6" s="37">
        <v>0.99478356540462831</v>
      </c>
      <c r="I6" s="37">
        <v>0.81647049847770459</v>
      </c>
      <c r="J6" s="34">
        <v>3.8416408245077076E-4</v>
      </c>
      <c r="K6" s="34">
        <v>9.2458268655105555E-5</v>
      </c>
      <c r="L6" s="35">
        <v>2.5100000000000002</v>
      </c>
      <c r="M6" s="37">
        <v>0.27404658588790598</v>
      </c>
      <c r="N6" s="37">
        <v>0.33138558298882442</v>
      </c>
      <c r="O6" s="34">
        <v>3.8393103101883681E-4</v>
      </c>
      <c r="P6" s="34">
        <v>7.1129226725341168E-5</v>
      </c>
      <c r="Q6" s="35">
        <v>2.4999999999999996</v>
      </c>
      <c r="R6" s="37">
        <v>0.91162001793060632</v>
      </c>
      <c r="S6" s="37">
        <v>0.80846876114289934</v>
      </c>
      <c r="U6" s="9" t="s">
        <v>11</v>
      </c>
      <c r="V6" s="1">
        <v>0.2</v>
      </c>
      <c r="W6" s="2">
        <v>0</v>
      </c>
      <c r="X6" s="22">
        <f>AVERAGE(G11,G15,L11,L15,Q11,Q15)</f>
        <v>2.3541666666666665</v>
      </c>
    </row>
    <row r="7" spans="1:24" x14ac:dyDescent="0.25">
      <c r="A7" s="14"/>
      <c r="B7" s="6" t="s">
        <v>14</v>
      </c>
      <c r="C7" s="1">
        <v>0.2</v>
      </c>
      <c r="D7" s="2">
        <v>0</v>
      </c>
      <c r="E7" s="34">
        <v>9.952158230852159E-5</v>
      </c>
      <c r="F7" s="34">
        <v>5.7568145721758839E-5</v>
      </c>
      <c r="G7" s="35">
        <v>2.5350000000000001</v>
      </c>
      <c r="H7" s="37">
        <v>0.44528248440079232</v>
      </c>
      <c r="I7" s="37">
        <v>0.38718222426999582</v>
      </c>
      <c r="J7" s="34">
        <v>1.0038395462924714E-4</v>
      </c>
      <c r="K7" s="34">
        <v>8.0032101446749596E-5</v>
      </c>
      <c r="L7" s="35">
        <v>2.645</v>
      </c>
      <c r="M7" s="37">
        <v>5.6191137196970588E-2</v>
      </c>
      <c r="N7" s="37">
        <v>7.462351804058269E-2</v>
      </c>
      <c r="O7" s="34">
        <v>9.0288081903368501E-5</v>
      </c>
      <c r="P7" s="34">
        <v>6.2064048126375586E-5</v>
      </c>
      <c r="Q7" s="35">
        <v>2.4700000000000002</v>
      </c>
      <c r="R7" s="37">
        <v>0.85728085994614811</v>
      </c>
      <c r="S7" s="37">
        <v>0.8218156947133296</v>
      </c>
      <c r="U7" s="10"/>
      <c r="V7" s="3">
        <v>0.2</v>
      </c>
      <c r="W7" s="4">
        <v>0.1</v>
      </c>
      <c r="X7" s="23">
        <f t="shared" ref="X7:X9" si="1">AVERAGE(G12,G16,L12,L16,Q12,Q16)</f>
        <v>2.5058333333333338</v>
      </c>
    </row>
    <row r="8" spans="1:24" x14ac:dyDescent="0.25">
      <c r="A8" s="14"/>
      <c r="B8" s="7"/>
      <c r="C8" s="3">
        <v>0.2</v>
      </c>
      <c r="D8" s="4">
        <v>0.1</v>
      </c>
      <c r="E8" s="34">
        <v>9.7368220960932989E-5</v>
      </c>
      <c r="F8" s="34">
        <v>5.5741859123195233E-5</v>
      </c>
      <c r="G8" s="35">
        <v>2.3450000000000002</v>
      </c>
      <c r="H8" s="38" t="s">
        <v>17</v>
      </c>
      <c r="I8" s="38" t="s">
        <v>17</v>
      </c>
      <c r="J8" s="34">
        <v>9.4150740315685042E-5</v>
      </c>
      <c r="K8" s="34">
        <v>7.2443989166593969E-5</v>
      </c>
      <c r="L8" s="35">
        <v>2.41</v>
      </c>
      <c r="M8" s="38" t="s">
        <v>17</v>
      </c>
      <c r="N8" s="38" t="s">
        <v>17</v>
      </c>
      <c r="O8" s="34">
        <v>9.1944180155763069E-5</v>
      </c>
      <c r="P8" s="34">
        <v>6.2649945826959277E-5</v>
      </c>
      <c r="Q8" s="35">
        <v>2.5399999999999996</v>
      </c>
      <c r="R8" s="37">
        <v>0.67176561691867298</v>
      </c>
      <c r="S8" s="37">
        <v>0.4220621027365421</v>
      </c>
      <c r="U8" s="10"/>
      <c r="V8" s="3">
        <v>0.2</v>
      </c>
      <c r="W8" s="4">
        <v>0.2</v>
      </c>
      <c r="X8" s="23">
        <f t="shared" si="1"/>
        <v>2.6150000000000002</v>
      </c>
    </row>
    <row r="9" spans="1:24" x14ac:dyDescent="0.25">
      <c r="A9" s="16"/>
      <c r="B9" s="7"/>
      <c r="C9" s="3">
        <v>0.2</v>
      </c>
      <c r="D9" s="4">
        <v>0.2</v>
      </c>
      <c r="E9" s="34">
        <v>9.8120903441997458E-5</v>
      </c>
      <c r="F9" s="34">
        <v>5.5511482032699811E-5</v>
      </c>
      <c r="G9" s="35">
        <v>2.5099999999999998</v>
      </c>
      <c r="H9" s="37">
        <v>0.79279381493157297</v>
      </c>
      <c r="I9" s="37">
        <v>0.31787541922460577</v>
      </c>
      <c r="J9" s="34">
        <v>9.8441522621399853E-5</v>
      </c>
      <c r="K9" s="34">
        <v>7.6990562312877989E-5</v>
      </c>
      <c r="L9" s="35">
        <v>2.4950000000000001</v>
      </c>
      <c r="M9" s="37">
        <v>0.11567397609835857</v>
      </c>
      <c r="N9" s="37">
        <v>0.24447549932248075</v>
      </c>
      <c r="O9" s="34">
        <v>9.0787475734020005E-5</v>
      </c>
      <c r="P9" s="34">
        <v>6.3484613987736674E-5</v>
      </c>
      <c r="Q9" s="35">
        <v>2.4250000000000003</v>
      </c>
      <c r="R9" s="38" t="s">
        <v>17</v>
      </c>
      <c r="S9" s="38" t="s">
        <v>17</v>
      </c>
      <c r="U9" s="11"/>
      <c r="V9" s="5">
        <v>0.2</v>
      </c>
      <c r="W9" s="18" t="s">
        <v>7</v>
      </c>
      <c r="X9" s="24">
        <f t="shared" si="1"/>
        <v>2.5250000000000004</v>
      </c>
    </row>
    <row r="10" spans="1:24" x14ac:dyDescent="0.25">
      <c r="A10" s="16"/>
      <c r="B10" s="15"/>
      <c r="C10" s="5">
        <v>0.2</v>
      </c>
      <c r="D10" s="18" t="s">
        <v>7</v>
      </c>
      <c r="E10" s="34">
        <v>9.9875165870221545E-5</v>
      </c>
      <c r="F10" s="34">
        <v>5.7545480588009254E-5</v>
      </c>
      <c r="G10" s="35">
        <v>2.61</v>
      </c>
      <c r="H10" s="37">
        <v>0.38247592624162235</v>
      </c>
      <c r="I10" s="37">
        <v>0.19311953695348166</v>
      </c>
      <c r="J10" s="34">
        <v>9.8351375360046425E-5</v>
      </c>
      <c r="K10" s="34">
        <v>7.6609919334720843E-5</v>
      </c>
      <c r="L10" s="35">
        <v>2.4499999999999997</v>
      </c>
      <c r="M10" s="37">
        <v>0.11213370753566305</v>
      </c>
      <c r="N10" s="37">
        <v>6.8668746975331069E-2</v>
      </c>
      <c r="O10" s="34">
        <v>9.0847344737725636E-5</v>
      </c>
      <c r="P10" s="34">
        <v>6.1753528069258273E-5</v>
      </c>
      <c r="Q10" s="35">
        <v>2.5650000000000004</v>
      </c>
      <c r="R10" s="37">
        <v>0.9828730483947451</v>
      </c>
      <c r="S10" s="37">
        <v>0.59050950497095889</v>
      </c>
      <c r="U10" s="9" t="s">
        <v>12</v>
      </c>
      <c r="V10" s="1">
        <v>0.2</v>
      </c>
      <c r="W10" s="2">
        <v>0</v>
      </c>
      <c r="X10" s="22">
        <f>AVERAGE(G19,G23,L19,L23,Q19,Q23)</f>
        <v>1.9058333333333335</v>
      </c>
    </row>
    <row r="11" spans="1:24" x14ac:dyDescent="0.25">
      <c r="A11" s="13" t="s">
        <v>11</v>
      </c>
      <c r="B11" s="6" t="s">
        <v>13</v>
      </c>
      <c r="C11" s="1">
        <v>0.2</v>
      </c>
      <c r="D11" s="2">
        <v>0</v>
      </c>
      <c r="E11" s="34">
        <v>2.2267400199017058E-3</v>
      </c>
      <c r="F11" s="34">
        <v>3.4064758098139517E-4</v>
      </c>
      <c r="G11" s="35">
        <v>2.06</v>
      </c>
      <c r="H11" s="38" t="s">
        <v>17</v>
      </c>
      <c r="I11" s="38" t="s">
        <v>17</v>
      </c>
      <c r="J11" s="34">
        <v>2.5443316415233157E-3</v>
      </c>
      <c r="K11" s="34">
        <v>3.5397630613041056E-4</v>
      </c>
      <c r="L11" s="35">
        <v>2.52</v>
      </c>
      <c r="M11" s="37">
        <v>0.95929307498474325</v>
      </c>
      <c r="N11" s="37">
        <v>0.98491227458612174</v>
      </c>
      <c r="O11" s="34">
        <v>2.3912337986025825E-3</v>
      </c>
      <c r="P11" s="34">
        <v>3.7655214946385627E-4</v>
      </c>
      <c r="Q11" s="35">
        <v>2.0099999999999998</v>
      </c>
      <c r="R11" s="38" t="s">
        <v>17</v>
      </c>
      <c r="S11" s="38" t="s">
        <v>17</v>
      </c>
      <c r="U11" s="10"/>
      <c r="V11" s="3">
        <v>0.2</v>
      </c>
      <c r="W11" s="4">
        <v>0.1</v>
      </c>
      <c r="X11" s="23">
        <f t="shared" ref="X11:X13" si="2">AVERAGE(G20,G24,L20,L24,Q20,Q24)</f>
        <v>2.8125</v>
      </c>
    </row>
    <row r="12" spans="1:24" x14ac:dyDescent="0.25">
      <c r="A12" s="14"/>
      <c r="B12" s="7"/>
      <c r="C12" s="3">
        <v>0.2</v>
      </c>
      <c r="D12" s="4">
        <v>0.1</v>
      </c>
      <c r="E12" s="34">
        <v>2.3303939148341534E-3</v>
      </c>
      <c r="F12" s="34">
        <v>3.5714631366207247E-4</v>
      </c>
      <c r="G12" s="35">
        <v>2.57</v>
      </c>
      <c r="H12" s="37">
        <v>1.8415700090596222E-3</v>
      </c>
      <c r="I12" s="37">
        <v>2.793215492679415E-3</v>
      </c>
      <c r="J12" s="34">
        <v>2.5421013221888504E-3</v>
      </c>
      <c r="K12" s="34">
        <v>3.8290307831655721E-4</v>
      </c>
      <c r="L12" s="35">
        <v>2.4350000000000001</v>
      </c>
      <c r="M12" s="38" t="s">
        <v>17</v>
      </c>
      <c r="N12" s="38" t="s">
        <v>17</v>
      </c>
      <c r="O12" s="34">
        <v>2.4918906181662565E-3</v>
      </c>
      <c r="P12" s="34">
        <v>3.4727899589538592E-4</v>
      </c>
      <c r="Q12" s="35">
        <v>2.66</v>
      </c>
      <c r="R12" s="37">
        <v>1.1339859158786563E-2</v>
      </c>
      <c r="S12" s="37">
        <v>8.6607999449780787E-3</v>
      </c>
      <c r="U12" s="10"/>
      <c r="V12" s="3">
        <v>0.2</v>
      </c>
      <c r="W12" s="4">
        <v>0.2</v>
      </c>
      <c r="X12" s="23">
        <f t="shared" si="2"/>
        <v>3.0566666666666666</v>
      </c>
    </row>
    <row r="13" spans="1:24" x14ac:dyDescent="0.25">
      <c r="A13" s="14"/>
      <c r="B13" s="7"/>
      <c r="C13" s="3">
        <v>0.2</v>
      </c>
      <c r="D13" s="4">
        <v>0.2</v>
      </c>
      <c r="E13" s="34">
        <v>2.3420923424219147E-3</v>
      </c>
      <c r="F13" s="34">
        <v>3.4935641187439992E-4</v>
      </c>
      <c r="G13" s="35">
        <v>2.7549999999999999</v>
      </c>
      <c r="H13" s="37">
        <v>4.9598076449057279E-3</v>
      </c>
      <c r="I13" s="37">
        <v>2.580899086176158E-3</v>
      </c>
      <c r="J13" s="34">
        <v>2.4998077377980949E-3</v>
      </c>
      <c r="K13" s="34">
        <v>3.8993332381862184E-4</v>
      </c>
      <c r="L13" s="35">
        <v>2.4550000000000001</v>
      </c>
      <c r="M13" s="37">
        <v>0.29336310825360595</v>
      </c>
      <c r="N13" s="37">
        <v>0.28881570687780328</v>
      </c>
      <c r="O13" s="34">
        <v>2.5218417687978339E-3</v>
      </c>
      <c r="P13" s="34">
        <v>3.3712147992668207E-4</v>
      </c>
      <c r="Q13" s="35">
        <v>2.76</v>
      </c>
      <c r="R13" s="37">
        <v>4.081941233725868E-3</v>
      </c>
      <c r="S13" s="37">
        <v>5.2522483863135471E-4</v>
      </c>
      <c r="U13" s="11"/>
      <c r="V13" s="5">
        <v>0.2</v>
      </c>
      <c r="W13" s="18" t="s">
        <v>7</v>
      </c>
      <c r="X13" s="24">
        <f t="shared" si="2"/>
        <v>2.2250000000000001</v>
      </c>
    </row>
    <row r="14" spans="1:24" x14ac:dyDescent="0.25">
      <c r="A14" s="16"/>
      <c r="B14" s="15"/>
      <c r="C14" s="5">
        <v>0.2</v>
      </c>
      <c r="D14" s="18" t="s">
        <v>7</v>
      </c>
      <c r="E14" s="34">
        <v>2.3346430683612121E-3</v>
      </c>
      <c r="F14" s="34">
        <v>3.4582954448907874E-4</v>
      </c>
      <c r="G14" s="35">
        <v>2.6150000000000002</v>
      </c>
      <c r="H14" s="37">
        <v>3.5364074098374449E-3</v>
      </c>
      <c r="I14" s="37">
        <v>3.9386319910249597E-3</v>
      </c>
      <c r="J14" s="34">
        <v>2.5581287693526855E-3</v>
      </c>
      <c r="K14" s="34">
        <v>3.7490610794864052E-4</v>
      </c>
      <c r="L14" s="35">
        <v>2.59</v>
      </c>
      <c r="M14" s="37">
        <v>0.69327525636757636</v>
      </c>
      <c r="N14" s="37">
        <v>0.50804971188692694</v>
      </c>
      <c r="O14" s="34">
        <v>2.4970543566941923E-3</v>
      </c>
      <c r="P14" s="34">
        <v>2.9633279940714644E-4</v>
      </c>
      <c r="Q14" s="35">
        <v>2.57</v>
      </c>
      <c r="R14" s="37">
        <v>1.3464734364832254E-2</v>
      </c>
      <c r="S14" s="37">
        <v>1.0576313053724579E-2</v>
      </c>
      <c r="U14" s="9" t="s">
        <v>14</v>
      </c>
      <c r="V14" s="1">
        <v>0.2</v>
      </c>
      <c r="W14" s="2">
        <v>0</v>
      </c>
      <c r="X14" s="22">
        <f>AVERAGE(G27,G31,L27,L31,Q27,Q31)</f>
        <v>2.0683333333333329</v>
      </c>
    </row>
    <row r="15" spans="1:24" x14ac:dyDescent="0.25">
      <c r="A15" s="14"/>
      <c r="B15" s="6" t="s">
        <v>14</v>
      </c>
      <c r="C15" s="1">
        <v>0.2</v>
      </c>
      <c r="D15" s="2">
        <v>0</v>
      </c>
      <c r="E15" s="34">
        <v>8.4822273401270211E-4</v>
      </c>
      <c r="F15" s="34">
        <v>4.3327032616097987E-4</v>
      </c>
      <c r="G15" s="35">
        <v>2.4950000000000001</v>
      </c>
      <c r="H15" s="37">
        <v>0.66696619734188711</v>
      </c>
      <c r="I15" s="37">
        <v>0.70399374353388611</v>
      </c>
      <c r="J15" s="34">
        <v>1.030721154196531E-3</v>
      </c>
      <c r="K15" s="34">
        <v>4.899796933678978E-4</v>
      </c>
      <c r="L15" s="35">
        <v>2.39</v>
      </c>
      <c r="M15" s="37">
        <v>0.96450789738480591</v>
      </c>
      <c r="N15" s="37">
        <v>0.99862830752180809</v>
      </c>
      <c r="O15" s="34">
        <v>1.1329610747632236E-3</v>
      </c>
      <c r="P15" s="34">
        <v>5.325986670327112E-4</v>
      </c>
      <c r="Q15" s="35">
        <v>2.65</v>
      </c>
      <c r="R15" s="37">
        <v>2.3589896133736743E-2</v>
      </c>
      <c r="S15" s="37">
        <v>2.3991816998606336E-2</v>
      </c>
      <c r="U15" s="10"/>
      <c r="V15" s="3">
        <v>0.2</v>
      </c>
      <c r="W15" s="4">
        <v>0.1</v>
      </c>
      <c r="X15" s="23">
        <f t="shared" ref="X15:X17" si="3">AVERAGE(G28,G32,L28,L32,Q28,Q32)</f>
        <v>2.668333333333333</v>
      </c>
    </row>
    <row r="16" spans="1:24" x14ac:dyDescent="0.25">
      <c r="A16" s="14"/>
      <c r="B16" s="7"/>
      <c r="C16" s="3">
        <v>0.2</v>
      </c>
      <c r="D16" s="4">
        <v>0.1</v>
      </c>
      <c r="E16" s="34">
        <v>8.4246345823245491E-4</v>
      </c>
      <c r="F16" s="34">
        <v>4.5128936470428566E-4</v>
      </c>
      <c r="G16" s="35">
        <v>2.2599999999999998</v>
      </c>
      <c r="H16" s="38" t="s">
        <v>17</v>
      </c>
      <c r="I16" s="38" t="s">
        <v>17</v>
      </c>
      <c r="J16" s="34">
        <v>1.0555555377590327E-3</v>
      </c>
      <c r="K16" s="34">
        <v>5.1187170585297774E-4</v>
      </c>
      <c r="L16" s="35">
        <v>2.5950000000000002</v>
      </c>
      <c r="M16" s="37">
        <v>0.21777968988592644</v>
      </c>
      <c r="N16" s="37">
        <v>0.14159320869321745</v>
      </c>
      <c r="O16" s="34">
        <v>1.1063197533537732E-3</v>
      </c>
      <c r="P16" s="34">
        <v>5.3331521181116661E-4</v>
      </c>
      <c r="Q16" s="35">
        <v>2.5150000000000001</v>
      </c>
      <c r="R16" s="37">
        <v>0.34137883902208616</v>
      </c>
      <c r="S16" s="37">
        <v>0.51690460162263185</v>
      </c>
      <c r="U16" s="10"/>
      <c r="V16" s="3">
        <v>0.2</v>
      </c>
      <c r="W16" s="4">
        <v>0.2</v>
      </c>
      <c r="X16" s="23">
        <f t="shared" si="3"/>
        <v>3.0833333333333335</v>
      </c>
    </row>
    <row r="17" spans="1:24" x14ac:dyDescent="0.25">
      <c r="A17" s="16"/>
      <c r="B17" s="7"/>
      <c r="C17" s="3">
        <v>0.2</v>
      </c>
      <c r="D17" s="4">
        <v>0.2</v>
      </c>
      <c r="E17" s="34">
        <v>8.6385062382185777E-4</v>
      </c>
      <c r="F17" s="34">
        <v>4.6360209073936917E-4</v>
      </c>
      <c r="G17" s="35">
        <v>2.5950000000000002</v>
      </c>
      <c r="H17" s="37">
        <v>0.23052346110381106</v>
      </c>
      <c r="I17" s="37">
        <v>0.12557828381858849</v>
      </c>
      <c r="J17" s="34">
        <v>1.0417343991354446E-3</v>
      </c>
      <c r="K17" s="34">
        <v>4.8854033588017381E-4</v>
      </c>
      <c r="L17" s="35">
        <v>2.6650000000000005</v>
      </c>
      <c r="M17" s="37">
        <v>0.53065562724833293</v>
      </c>
      <c r="N17" s="37">
        <v>0.22815201708613991</v>
      </c>
      <c r="O17" s="34">
        <v>1.1048886891527308E-3</v>
      </c>
      <c r="P17" s="34">
        <v>5.4304408333143606E-4</v>
      </c>
      <c r="Q17" s="35">
        <v>2.4600000000000004</v>
      </c>
      <c r="R17" s="37">
        <v>0.41064830139613817</v>
      </c>
      <c r="S17" s="37">
        <v>0.63637751779939467</v>
      </c>
      <c r="U17" s="11"/>
      <c r="V17" s="5">
        <v>0.2</v>
      </c>
      <c r="W17" s="18" t="s">
        <v>7</v>
      </c>
      <c r="X17" s="24">
        <f t="shared" si="3"/>
        <v>2.1800000000000002</v>
      </c>
    </row>
    <row r="18" spans="1:24" x14ac:dyDescent="0.25">
      <c r="A18" s="16"/>
      <c r="B18" s="15"/>
      <c r="C18" s="5">
        <v>0.2</v>
      </c>
      <c r="D18" s="18" t="s">
        <v>7</v>
      </c>
      <c r="E18" s="34">
        <v>8.603152292626777E-4</v>
      </c>
      <c r="F18" s="34">
        <v>4.6297977839395858E-4</v>
      </c>
      <c r="G18" s="35">
        <v>2.65</v>
      </c>
      <c r="H18" s="37">
        <v>0.22196165212261362</v>
      </c>
      <c r="I18" s="37">
        <v>0.42604819317593379</v>
      </c>
      <c r="J18" s="34">
        <v>1.0298254661763686E-3</v>
      </c>
      <c r="K18" s="34">
        <v>4.9341924685525069E-4</v>
      </c>
      <c r="L18" s="35">
        <v>2.3500000000000005</v>
      </c>
      <c r="M18" s="38" t="s">
        <v>17</v>
      </c>
      <c r="N18" s="38" t="s">
        <v>17</v>
      </c>
      <c r="O18" s="34">
        <v>1.0881910663951943E-3</v>
      </c>
      <c r="P18" s="34">
        <v>5.0369065958405935E-4</v>
      </c>
      <c r="Q18" s="35">
        <v>2.375</v>
      </c>
      <c r="R18" s="38" t="s">
        <v>17</v>
      </c>
      <c r="S18" s="38" t="s">
        <v>17</v>
      </c>
    </row>
    <row r="19" spans="1:24" x14ac:dyDescent="0.25">
      <c r="A19" s="13" t="s">
        <v>12</v>
      </c>
      <c r="B19" s="6" t="s">
        <v>13</v>
      </c>
      <c r="C19" s="1">
        <v>0.2</v>
      </c>
      <c r="D19" s="2">
        <v>0</v>
      </c>
      <c r="E19" s="34">
        <v>4.7948271933248264E-3</v>
      </c>
      <c r="F19" s="34">
        <v>5.3037380660458651E-4</v>
      </c>
      <c r="G19" s="35">
        <v>1.91</v>
      </c>
      <c r="H19" s="38" t="s">
        <v>17</v>
      </c>
      <c r="I19" s="38" t="s">
        <v>17</v>
      </c>
      <c r="J19" s="34">
        <v>4.9754919411179026E-3</v>
      </c>
      <c r="K19" s="34">
        <v>5.9037511521212822E-4</v>
      </c>
      <c r="L19" s="35">
        <v>2.12</v>
      </c>
      <c r="M19" s="38" t="s">
        <v>17</v>
      </c>
      <c r="N19" s="38" t="s">
        <v>17</v>
      </c>
      <c r="O19" s="34">
        <v>5.144803004441055E-3</v>
      </c>
      <c r="P19" s="34">
        <v>6.1634690033687107E-4</v>
      </c>
      <c r="Q19" s="35">
        <v>1.99</v>
      </c>
      <c r="R19" s="37">
        <v>0.9779696914474304</v>
      </c>
      <c r="S19" s="37">
        <v>0.87839397305208966</v>
      </c>
    </row>
    <row r="20" spans="1:24" x14ac:dyDescent="0.25">
      <c r="A20" s="14"/>
      <c r="B20" s="7"/>
      <c r="C20" s="3">
        <v>0.2</v>
      </c>
      <c r="D20" s="4">
        <v>0.1</v>
      </c>
      <c r="E20" s="34">
        <v>5.0629886841449135E-3</v>
      </c>
      <c r="F20" s="34">
        <v>4.3654957670215402E-4</v>
      </c>
      <c r="G20" s="35">
        <v>2.7549999999999999</v>
      </c>
      <c r="H20" s="37">
        <v>1.9169040676148585E-5</v>
      </c>
      <c r="I20" s="37">
        <v>3.912990788052669E-6</v>
      </c>
      <c r="J20" s="34">
        <v>5.1716936127920434E-3</v>
      </c>
      <c r="K20" s="34">
        <v>6.1792701300451705E-4</v>
      </c>
      <c r="L20" s="35">
        <v>2.69</v>
      </c>
      <c r="M20" s="37">
        <v>6.196640323401976E-4</v>
      </c>
      <c r="N20" s="37">
        <v>6.6840212837997637E-4</v>
      </c>
      <c r="O20" s="34">
        <v>5.5098679586371262E-3</v>
      </c>
      <c r="P20" s="34">
        <v>6.3372954277129425E-4</v>
      </c>
      <c r="Q20" s="35">
        <v>2.76</v>
      </c>
      <c r="R20" s="37">
        <v>5.2197525902016297E-8</v>
      </c>
      <c r="S20" s="37">
        <v>2.4799875760420542E-7</v>
      </c>
    </row>
    <row r="21" spans="1:24" x14ac:dyDescent="0.25">
      <c r="A21" s="14"/>
      <c r="B21" s="7"/>
      <c r="C21" s="3">
        <v>0.2</v>
      </c>
      <c r="D21" s="4">
        <v>0.2</v>
      </c>
      <c r="E21" s="34">
        <v>5.2631590521061422E-3</v>
      </c>
      <c r="F21" s="34">
        <v>4.6020566651523026E-4</v>
      </c>
      <c r="G21" s="35">
        <v>3.26</v>
      </c>
      <c r="H21" s="37">
        <v>7.0655056141520218E-13</v>
      </c>
      <c r="I21" s="37">
        <v>3.1864550774356603E-11</v>
      </c>
      <c r="J21" s="34">
        <v>5.3090749592759369E-3</v>
      </c>
      <c r="K21" s="34">
        <v>5.9460528185801349E-4</v>
      </c>
      <c r="L21" s="35">
        <v>3.01</v>
      </c>
      <c r="M21" s="37">
        <v>2.8054782735471846E-9</v>
      </c>
      <c r="N21" s="37">
        <v>3.2555407965340855E-8</v>
      </c>
      <c r="O21" s="34">
        <v>5.7078228872778185E-3</v>
      </c>
      <c r="P21" s="34">
        <v>6.8773971427035742E-4</v>
      </c>
      <c r="Q21" s="35">
        <v>3.27</v>
      </c>
      <c r="R21" s="37">
        <v>1.4268491855422936E-15</v>
      </c>
      <c r="S21" s="37">
        <v>8.6780105384785256E-13</v>
      </c>
    </row>
    <row r="22" spans="1:24" x14ac:dyDescent="0.25">
      <c r="A22" s="16"/>
      <c r="B22" s="15"/>
      <c r="C22" s="5">
        <v>0.2</v>
      </c>
      <c r="D22" s="18" t="s">
        <v>7</v>
      </c>
      <c r="E22" s="34">
        <v>4.79731240831639E-3</v>
      </c>
      <c r="F22" s="34">
        <v>4.3304679158545569E-4</v>
      </c>
      <c r="G22" s="35">
        <v>2.0750000000000002</v>
      </c>
      <c r="H22" s="37">
        <v>0.96840187341779049</v>
      </c>
      <c r="I22" s="37">
        <v>0.93286644371462502</v>
      </c>
      <c r="J22" s="34">
        <v>4.9760651460264401E-3</v>
      </c>
      <c r="K22" s="34">
        <v>5.8990468173054087E-4</v>
      </c>
      <c r="L22" s="35">
        <v>2.1800000000000002</v>
      </c>
      <c r="M22" s="37">
        <v>0.99178405229626432</v>
      </c>
      <c r="N22" s="37">
        <v>0.96845927650308805</v>
      </c>
      <c r="O22" s="34">
        <v>5.1430897661610322E-3</v>
      </c>
      <c r="P22" s="34">
        <v>5.7822536616352509E-4</v>
      </c>
      <c r="Q22" s="35">
        <v>1.98</v>
      </c>
      <c r="R22" s="38" t="s">
        <v>17</v>
      </c>
      <c r="S22" s="38" t="s">
        <v>17</v>
      </c>
      <c r="V22" s="28" t="s">
        <v>1</v>
      </c>
      <c r="W22" s="28" t="s">
        <v>2</v>
      </c>
      <c r="X22" s="29" t="s">
        <v>6</v>
      </c>
    </row>
    <row r="23" spans="1:24" x14ac:dyDescent="0.25">
      <c r="A23" s="14"/>
      <c r="B23" s="6" t="s">
        <v>14</v>
      </c>
      <c r="C23" s="1">
        <v>0.2</v>
      </c>
      <c r="D23" s="2">
        <v>0</v>
      </c>
      <c r="E23" s="34">
        <v>1.9473248091889225E-3</v>
      </c>
      <c r="F23" s="34">
        <v>8.1987212425582918E-4</v>
      </c>
      <c r="G23" s="35">
        <v>1.4750000000000001</v>
      </c>
      <c r="H23" s="38" t="s">
        <v>17</v>
      </c>
      <c r="I23" s="38" t="s">
        <v>17</v>
      </c>
      <c r="J23" s="34">
        <v>2.8049813087794024E-3</v>
      </c>
      <c r="K23" s="34">
        <v>9.2219481200673463E-4</v>
      </c>
      <c r="L23" s="35">
        <v>1.95</v>
      </c>
      <c r="M23" s="38" t="s">
        <v>17</v>
      </c>
      <c r="N23" s="38" t="s">
        <v>17</v>
      </c>
      <c r="O23" s="34">
        <v>2.9322492067095046E-3</v>
      </c>
      <c r="P23" s="34">
        <v>9.1627505342172465E-4</v>
      </c>
      <c r="Q23" s="35">
        <v>1.99</v>
      </c>
      <c r="R23" s="38" t="s">
        <v>17</v>
      </c>
      <c r="S23" s="38" t="s">
        <v>17</v>
      </c>
      <c r="V23" s="1">
        <v>0.2</v>
      </c>
      <c r="W23" s="2">
        <v>0</v>
      </c>
      <c r="X23" s="30">
        <f>AVERAGE(X2,X6,X10,X14)</f>
        <v>2.2079166666666667</v>
      </c>
    </row>
    <row r="24" spans="1:24" x14ac:dyDescent="0.25">
      <c r="A24" s="14"/>
      <c r="B24" s="7"/>
      <c r="C24" s="3">
        <v>0.2</v>
      </c>
      <c r="D24" s="4">
        <v>0.1</v>
      </c>
      <c r="E24" s="34">
        <v>2.2148865052541628E-3</v>
      </c>
      <c r="F24" s="34">
        <v>8.6525384939307602E-4</v>
      </c>
      <c r="G24" s="35">
        <v>3.02</v>
      </c>
      <c r="H24" s="37">
        <v>2.4830945524721479E-16</v>
      </c>
      <c r="I24" s="37">
        <v>2.6539055728117356E-14</v>
      </c>
      <c r="J24" s="34">
        <v>3.0268696102553711E-3</v>
      </c>
      <c r="K24" s="34">
        <v>9.9878959747571792E-4</v>
      </c>
      <c r="L24" s="35">
        <v>2.83</v>
      </c>
      <c r="M24" s="37">
        <v>1.6760056501014889E-7</v>
      </c>
      <c r="N24" s="37">
        <v>5.1223221330038309E-7</v>
      </c>
      <c r="O24" s="34">
        <v>3.1065188967011261E-3</v>
      </c>
      <c r="P24" s="34">
        <v>9.1869541729276824E-4</v>
      </c>
      <c r="Q24" s="35">
        <v>2.82</v>
      </c>
      <c r="R24" s="37">
        <v>6.6045005581212584E-5</v>
      </c>
      <c r="S24" s="37">
        <v>1.232094249011999E-5</v>
      </c>
      <c r="V24" s="3">
        <v>0.2</v>
      </c>
      <c r="W24" s="4">
        <v>0.1</v>
      </c>
      <c r="X24" s="31">
        <f t="shared" ref="X24:X26" si="4">AVERAGE(X3,X7,X11,X15)</f>
        <v>2.6164583333333331</v>
      </c>
    </row>
    <row r="25" spans="1:24" x14ac:dyDescent="0.25">
      <c r="A25" s="16"/>
      <c r="B25" s="7"/>
      <c r="C25" s="3">
        <v>0.2</v>
      </c>
      <c r="D25" s="4">
        <v>0.2</v>
      </c>
      <c r="E25" s="34">
        <v>2.238071822400742E-3</v>
      </c>
      <c r="F25" s="34">
        <v>8.7625398263010642E-4</v>
      </c>
      <c r="G25" s="35">
        <v>3.08</v>
      </c>
      <c r="H25" s="37">
        <v>2.4673475240354939E-18</v>
      </c>
      <c r="I25" s="37">
        <v>3.8479191600766335E-14</v>
      </c>
      <c r="J25" s="34">
        <v>3.0348753952016798E-3</v>
      </c>
      <c r="K25" s="34">
        <v>1.0220154179885041E-3</v>
      </c>
      <c r="L25" s="35">
        <v>2.82</v>
      </c>
      <c r="M25" s="37">
        <v>5.2962323875730591E-8</v>
      </c>
      <c r="N25" s="37">
        <v>2.0249987062153935E-7</v>
      </c>
      <c r="O25" s="34">
        <v>3.1351476984782874E-3</v>
      </c>
      <c r="P25" s="34">
        <v>9.2196641910172249E-4</v>
      </c>
      <c r="Q25" s="35">
        <v>2.9</v>
      </c>
      <c r="R25" s="37">
        <v>1.9135934839972144E-7</v>
      </c>
      <c r="S25" s="37">
        <v>4.1285425886768915E-7</v>
      </c>
      <c r="V25" s="3">
        <v>0.2</v>
      </c>
      <c r="W25" s="4">
        <v>0.2</v>
      </c>
      <c r="X25" s="31">
        <f t="shared" si="4"/>
        <v>2.8106250000000004</v>
      </c>
    </row>
    <row r="26" spans="1:24" x14ac:dyDescent="0.25">
      <c r="A26" s="16"/>
      <c r="B26" s="15"/>
      <c r="C26" s="5">
        <v>0.2</v>
      </c>
      <c r="D26" s="18" t="s">
        <v>7</v>
      </c>
      <c r="E26" s="34">
        <v>2.1250796882157376E-3</v>
      </c>
      <c r="F26" s="34">
        <v>8.6966818615738333E-4</v>
      </c>
      <c r="G26" s="35">
        <v>2.4249999999999998</v>
      </c>
      <c r="H26" s="37">
        <v>3.4098952963471441E-8</v>
      </c>
      <c r="I26" s="37">
        <v>3.1705575707614164E-9</v>
      </c>
      <c r="J26" s="34">
        <v>2.9136207366491753E-3</v>
      </c>
      <c r="K26" s="34">
        <v>9.5162387310229236E-4</v>
      </c>
      <c r="L26" s="35">
        <v>2.4</v>
      </c>
      <c r="M26" s="37">
        <v>4.5226188103507994E-3</v>
      </c>
      <c r="N26" s="37">
        <v>1.6629739244089656E-2</v>
      </c>
      <c r="O26" s="34">
        <v>3.003140387284697E-3</v>
      </c>
      <c r="P26" s="34">
        <v>8.3666794426406085E-4</v>
      </c>
      <c r="Q26" s="35">
        <v>2.29</v>
      </c>
      <c r="R26" s="37">
        <v>8.6619373681276729E-2</v>
      </c>
      <c r="S26" s="37">
        <v>6.5588892948589009E-2</v>
      </c>
      <c r="V26" s="5">
        <v>0.2</v>
      </c>
      <c r="W26" s="18" t="s">
        <v>7</v>
      </c>
      <c r="X26" s="32">
        <f t="shared" si="4"/>
        <v>2.3649999999999998</v>
      </c>
    </row>
    <row r="27" spans="1:24" x14ac:dyDescent="0.25">
      <c r="A27" s="13" t="s">
        <v>14</v>
      </c>
      <c r="B27" s="6" t="s">
        <v>13</v>
      </c>
      <c r="C27" s="1">
        <v>0.2</v>
      </c>
      <c r="D27" s="2">
        <v>0</v>
      </c>
      <c r="E27" s="34">
        <v>7.3077992120509196E-3</v>
      </c>
      <c r="F27" s="34">
        <v>6.8384690436763872E-4</v>
      </c>
      <c r="G27" s="35">
        <v>2.085</v>
      </c>
      <c r="H27" s="38" t="s">
        <v>17</v>
      </c>
      <c r="I27" s="38" t="s">
        <v>17</v>
      </c>
      <c r="J27" s="34">
        <v>7.386596758085646E-3</v>
      </c>
      <c r="K27" s="34">
        <v>8.6187078930287841E-4</v>
      </c>
      <c r="L27" s="35">
        <v>2.1549999999999998</v>
      </c>
      <c r="M27" s="37">
        <v>0.68600760749857248</v>
      </c>
      <c r="N27" s="37">
        <v>0.43005616170295757</v>
      </c>
      <c r="O27" s="34">
        <v>7.6543074608241271E-3</v>
      </c>
      <c r="P27" s="34">
        <v>6.1808819285766867E-4</v>
      </c>
      <c r="Q27" s="35">
        <v>2.2799999999999998</v>
      </c>
      <c r="R27" s="37">
        <v>0.19390050967234573</v>
      </c>
      <c r="S27" s="37">
        <v>0.27046901350681574</v>
      </c>
    </row>
    <row r="28" spans="1:24" x14ac:dyDescent="0.25">
      <c r="A28" s="14"/>
      <c r="B28" s="7"/>
      <c r="C28" s="3">
        <v>0.2</v>
      </c>
      <c r="D28" s="4">
        <v>0.1</v>
      </c>
      <c r="E28" s="34">
        <v>7.6353618282051783E-3</v>
      </c>
      <c r="F28" s="34">
        <v>6.5433972264737226E-4</v>
      </c>
      <c r="G28" s="35">
        <v>2.72</v>
      </c>
      <c r="H28" s="37">
        <v>8.2573002889682224E-5</v>
      </c>
      <c r="I28" s="37">
        <v>2.5211998992823295E-4</v>
      </c>
      <c r="J28" s="34">
        <v>7.6173132723101403E-3</v>
      </c>
      <c r="K28" s="34">
        <v>8.5734317740371042E-4</v>
      </c>
      <c r="L28" s="35">
        <v>2.54</v>
      </c>
      <c r="M28" s="37">
        <v>3.3925644190393742E-3</v>
      </c>
      <c r="N28" s="37">
        <v>1.7242140827633194E-3</v>
      </c>
      <c r="O28" s="34">
        <v>7.7666055831319847E-3</v>
      </c>
      <c r="P28" s="34">
        <v>5.9736485499711398E-4</v>
      </c>
      <c r="Q28" s="35">
        <v>2.4950000000000001</v>
      </c>
      <c r="R28" s="37">
        <v>6.9135902794595933E-3</v>
      </c>
      <c r="S28" s="37">
        <v>1.0165512827120334E-2</v>
      </c>
    </row>
    <row r="29" spans="1:24" x14ac:dyDescent="0.25">
      <c r="A29" s="14"/>
      <c r="B29" s="7"/>
      <c r="C29" s="3">
        <v>0.2</v>
      </c>
      <c r="D29" s="4">
        <v>0.2</v>
      </c>
      <c r="E29" s="34">
        <v>7.8509355631290328E-3</v>
      </c>
      <c r="F29" s="34">
        <v>7.7519092939195493E-4</v>
      </c>
      <c r="G29" s="35">
        <v>3.0350000000000001</v>
      </c>
      <c r="H29" s="37">
        <v>1.3060284183721164E-8</v>
      </c>
      <c r="I29" s="37">
        <v>6.5415866915795464E-8</v>
      </c>
      <c r="J29" s="34">
        <v>7.9350484043369546E-3</v>
      </c>
      <c r="K29" s="34">
        <v>7.7664205079874869E-4</v>
      </c>
      <c r="L29" s="35">
        <v>3.29</v>
      </c>
      <c r="M29" s="37">
        <v>9.3563222856791439E-11</v>
      </c>
      <c r="N29" s="37">
        <v>2.1264254337223162E-9</v>
      </c>
      <c r="O29" s="34">
        <v>8.0697120387743099E-3</v>
      </c>
      <c r="P29" s="34">
        <v>6.6246145684322345E-4</v>
      </c>
      <c r="Q29" s="35">
        <v>3.15</v>
      </c>
      <c r="R29" s="37">
        <v>8.8112031380705696E-9</v>
      </c>
      <c r="S29" s="37">
        <v>5.9426217260622097E-8</v>
      </c>
    </row>
    <row r="30" spans="1:24" x14ac:dyDescent="0.25">
      <c r="A30" s="16"/>
      <c r="B30" s="15"/>
      <c r="C30" s="5">
        <v>0.2</v>
      </c>
      <c r="D30" s="18" t="s">
        <v>7</v>
      </c>
      <c r="E30" s="34">
        <v>7.3698900131382548E-3</v>
      </c>
      <c r="F30" s="34">
        <v>6.6811465227034888E-4</v>
      </c>
      <c r="G30" s="35">
        <v>2.16</v>
      </c>
      <c r="H30" s="37">
        <v>0.45535787791902727</v>
      </c>
      <c r="I30" s="37">
        <v>0.57634751236552906</v>
      </c>
      <c r="J30" s="34">
        <v>7.3493414280918577E-3</v>
      </c>
      <c r="K30" s="34">
        <v>9.0180058922886797E-4</v>
      </c>
      <c r="L30" s="35">
        <v>2.0150000000000001</v>
      </c>
      <c r="M30" s="38" t="s">
        <v>17</v>
      </c>
      <c r="N30" s="38" t="s">
        <v>17</v>
      </c>
      <c r="O30" s="34">
        <v>7.5576637258551842E-3</v>
      </c>
      <c r="P30" s="34">
        <v>7.0599051958976768E-4</v>
      </c>
      <c r="Q30" s="35">
        <v>2.0750000000000002</v>
      </c>
      <c r="R30" s="38" t="s">
        <v>17</v>
      </c>
      <c r="S30" s="38" t="s">
        <v>17</v>
      </c>
    </row>
    <row r="31" spans="1:24" x14ac:dyDescent="0.25">
      <c r="A31" s="14"/>
      <c r="B31" s="6" t="s">
        <v>14</v>
      </c>
      <c r="C31" s="1">
        <v>0.2</v>
      </c>
      <c r="D31" s="2">
        <v>0</v>
      </c>
      <c r="E31" s="34">
        <v>3.5670015670827872E-3</v>
      </c>
      <c r="F31" s="34">
        <v>1.1146439629458533E-3</v>
      </c>
      <c r="G31" s="35">
        <v>1.845</v>
      </c>
      <c r="H31" s="38" t="s">
        <v>17</v>
      </c>
      <c r="I31" s="38" t="s">
        <v>17</v>
      </c>
      <c r="J31" s="34">
        <v>4.7124037419971655E-3</v>
      </c>
      <c r="K31" s="34">
        <v>1.173807283319214E-3</v>
      </c>
      <c r="L31" s="35">
        <v>1.99</v>
      </c>
      <c r="M31" s="38" t="s">
        <v>17</v>
      </c>
      <c r="N31" s="38" t="s">
        <v>17</v>
      </c>
      <c r="O31" s="34">
        <v>5.2418782935668255E-3</v>
      </c>
      <c r="P31" s="34">
        <v>1.6502788013016694E-3</v>
      </c>
      <c r="Q31" s="35">
        <v>2.0550000000000002</v>
      </c>
      <c r="R31" s="38" t="s">
        <v>17</v>
      </c>
      <c r="S31" s="38" t="s">
        <v>17</v>
      </c>
    </row>
    <row r="32" spans="1:24" x14ac:dyDescent="0.25">
      <c r="A32" s="14"/>
      <c r="B32" s="7"/>
      <c r="C32" s="3">
        <v>0.2</v>
      </c>
      <c r="D32" s="4">
        <v>0.1</v>
      </c>
      <c r="E32" s="34">
        <v>3.913954768023256E-3</v>
      </c>
      <c r="F32" s="34">
        <v>1.1734194111976805E-3</v>
      </c>
      <c r="G32" s="35">
        <v>2.88</v>
      </c>
      <c r="H32" s="37">
        <v>2.1591506892696337E-10</v>
      </c>
      <c r="I32" s="37">
        <v>8.4789993447741599E-10</v>
      </c>
      <c r="J32" s="34">
        <v>4.9338148678075696E-3</v>
      </c>
      <c r="K32" s="34">
        <v>1.1601298332750214E-3</v>
      </c>
      <c r="L32" s="35">
        <v>2.6349999999999998</v>
      </c>
      <c r="M32" s="37">
        <v>5.1795001588597232E-4</v>
      </c>
      <c r="N32" s="37">
        <v>3.8012858640700968E-4</v>
      </c>
      <c r="O32" s="34">
        <v>5.3462111689978296E-3</v>
      </c>
      <c r="P32" s="34">
        <v>1.42409443293886E-3</v>
      </c>
      <c r="Q32" s="35">
        <v>2.74</v>
      </c>
      <c r="R32" s="37">
        <v>0.27626288256583853</v>
      </c>
      <c r="S32" s="37">
        <v>2.2125575002701119E-2</v>
      </c>
    </row>
    <row r="33" spans="1:19" x14ac:dyDescent="0.25">
      <c r="A33" s="16"/>
      <c r="B33" s="7"/>
      <c r="C33" s="3">
        <v>0.2</v>
      </c>
      <c r="D33" s="4">
        <v>0.2</v>
      </c>
      <c r="E33" s="34">
        <v>4.001770667473716E-3</v>
      </c>
      <c r="F33" s="34">
        <v>1.2259287290844463E-3</v>
      </c>
      <c r="G33" s="35">
        <v>3.1949999999999998</v>
      </c>
      <c r="H33" s="37">
        <v>5.293996710030615E-14</v>
      </c>
      <c r="I33" s="37">
        <v>1.4288051464694242E-12</v>
      </c>
      <c r="J33" s="34">
        <v>5.086162581035206E-3</v>
      </c>
      <c r="K33" s="34">
        <v>1.1821597817907412E-3</v>
      </c>
      <c r="L33" s="35">
        <v>2.9849999999999999</v>
      </c>
      <c r="M33" s="37">
        <v>2.1097343943548092E-7</v>
      </c>
      <c r="N33" s="37">
        <v>2.7280194863487193E-8</v>
      </c>
      <c r="O33" s="34">
        <v>5.4060202759345852E-3</v>
      </c>
      <c r="P33" s="34">
        <v>1.4466136248099176E-3</v>
      </c>
      <c r="Q33" s="35">
        <v>2.8450000000000002</v>
      </c>
      <c r="R33" s="37">
        <v>8.2887218799896648E-2</v>
      </c>
      <c r="S33" s="37">
        <v>1.0186682797552573E-3</v>
      </c>
    </row>
    <row r="34" spans="1:19" x14ac:dyDescent="0.25">
      <c r="A34" s="17"/>
      <c r="B34" s="15"/>
      <c r="C34" s="5">
        <v>0.2</v>
      </c>
      <c r="D34" s="18" t="s">
        <v>7</v>
      </c>
      <c r="E34" s="34">
        <v>3.6921223982745114E-3</v>
      </c>
      <c r="F34" s="34">
        <v>1.1433332090902567E-3</v>
      </c>
      <c r="G34" s="35">
        <v>2.08</v>
      </c>
      <c r="H34" s="37">
        <v>1.0049173815209863E-2</v>
      </c>
      <c r="I34" s="37">
        <v>3.3739978242751066E-2</v>
      </c>
      <c r="J34" s="34">
        <v>4.8631027086921685E-3</v>
      </c>
      <c r="K34" s="34">
        <v>1.1299889122840835E-3</v>
      </c>
      <c r="L34" s="35">
        <v>2.39</v>
      </c>
      <c r="M34" s="37">
        <v>8.0888718008926899E-2</v>
      </c>
      <c r="N34" s="37">
        <v>9.9213873219194282E-2</v>
      </c>
      <c r="O34" s="34">
        <v>5.3232229356603442E-3</v>
      </c>
      <c r="P34" s="34">
        <v>1.4748238073883978E-3</v>
      </c>
      <c r="Q34" s="35">
        <v>2.3600000000000003</v>
      </c>
      <c r="R34" s="37">
        <v>0.46210305052261968</v>
      </c>
      <c r="S34" s="37">
        <v>0.1850139120677643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</vt:lpstr>
      <vt:lpstr>MCND_MIN</vt:lpstr>
      <vt:lpstr>MCND_STD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MTomczyk</dc:creator>
  <cp:lastModifiedBy>Michał Tomczyk</cp:lastModifiedBy>
  <dcterms:modified xsi:type="dcterms:W3CDTF">2025-10-21T10:35:16Z</dcterms:modified>
</cp:coreProperties>
</file>