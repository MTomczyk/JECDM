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raca\Projekty\2025\Swarm_ERS_1st_review\results\"/>
    </mc:Choice>
  </mc:AlternateContent>
  <xr:revisionPtr revIDLastSave="0" documentId="13_ncr:1_{2EE00BCD-0320-4D4B-9A61-7148BEE6D7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per_MOD" sheetId="9" r:id="rId1"/>
    <sheet name="HV" sheetId="6" r:id="rId2"/>
    <sheet name="GD" sheetId="1" r:id="rId3"/>
    <sheet name="BS" sheetId="7" r:id="rId4"/>
    <sheet name="AVS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9" l="1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Q4" i="9"/>
  <c r="P4" i="9"/>
  <c r="O4" i="9"/>
  <c r="N4" i="9"/>
  <c r="G4" i="9"/>
  <c r="K4" i="9"/>
  <c r="M4" i="9"/>
  <c r="L4" i="9"/>
  <c r="J4" i="9"/>
  <c r="U4" i="9" s="1"/>
  <c r="I4" i="9"/>
  <c r="H4" i="9"/>
  <c r="F4" i="9"/>
  <c r="T4" i="9" s="1"/>
  <c r="E4" i="9"/>
  <c r="D4" i="9"/>
  <c r="C4" i="9"/>
  <c r="B4" i="9"/>
  <c r="V8" i="9" l="1"/>
  <c r="V16" i="9"/>
  <c r="V6" i="9"/>
  <c r="V10" i="9"/>
  <c r="V4" i="9"/>
  <c r="V18" i="9"/>
  <c r="V12" i="9"/>
  <c r="U11" i="9"/>
  <c r="U5" i="9"/>
  <c r="U18" i="9"/>
  <c r="U12" i="9"/>
  <c r="U6" i="9"/>
  <c r="U14" i="9"/>
  <c r="U10" i="9"/>
  <c r="U8" i="9"/>
  <c r="U16" i="9"/>
  <c r="U19" i="9"/>
  <c r="T10" i="9"/>
  <c r="T11" i="9"/>
  <c r="T18" i="9"/>
  <c r="T19" i="9"/>
  <c r="S10" i="9"/>
  <c r="S5" i="9"/>
  <c r="S17" i="9"/>
  <c r="S11" i="9"/>
  <c r="S19" i="9"/>
  <c r="S13" i="9"/>
  <c r="S15" i="9"/>
  <c r="S25" i="9"/>
  <c r="T7" i="9"/>
  <c r="U7" i="9"/>
  <c r="V5" i="9"/>
  <c r="V13" i="9"/>
  <c r="V15" i="9"/>
  <c r="V17" i="9"/>
  <c r="V19" i="9"/>
  <c r="T5" i="9"/>
  <c r="U9" i="9"/>
  <c r="V7" i="9"/>
  <c r="V11" i="9"/>
  <c r="S7" i="9"/>
  <c r="T9" i="9"/>
  <c r="V9" i="9"/>
  <c r="T13" i="9"/>
  <c r="U13" i="9"/>
  <c r="S12" i="9"/>
  <c r="S14" i="9"/>
  <c r="S16" i="9"/>
  <c r="S18" i="9"/>
  <c r="S20" i="9"/>
  <c r="T15" i="9"/>
  <c r="U15" i="9"/>
  <c r="S9" i="9"/>
  <c r="T17" i="9"/>
  <c r="U17" i="9"/>
  <c r="B28" i="9"/>
  <c r="S8" i="9"/>
  <c r="T14" i="9"/>
  <c r="T6" i="9"/>
  <c r="C29" i="9"/>
  <c r="T16" i="9"/>
  <c r="S6" i="9"/>
  <c r="T8" i="9"/>
  <c r="T12" i="9"/>
  <c r="V14" i="9"/>
  <c r="B29" i="9"/>
  <c r="S4" i="9"/>
  <c r="C28" i="9"/>
  <c r="S21" i="9"/>
  <c r="S22" i="9"/>
  <c r="S23" i="9"/>
  <c r="S24" i="9"/>
  <c r="D29" i="9" l="1"/>
</calcChain>
</file>

<file path=xl/sharedStrings.xml><?xml version="1.0" encoding="utf-8"?>
<sst xmlns="http://schemas.openxmlformats.org/spreadsheetml/2006/main" count="429" uniqueCount="40">
  <si>
    <t>DTLZ1</t>
  </si>
  <si>
    <t>DTLZ2</t>
  </si>
  <si>
    <t>ERS</t>
  </si>
  <si>
    <t>FRS</t>
  </si>
  <si>
    <t>Mean</t>
  </si>
  <si>
    <t>Std</t>
  </si>
  <si>
    <t>HV</t>
  </si>
  <si>
    <t>DTLZ3</t>
  </si>
  <si>
    <t>DTLZ4</t>
  </si>
  <si>
    <t>DTLZ5</t>
  </si>
  <si>
    <t>DTLZ6</t>
  </si>
  <si>
    <t>DTLZ7</t>
  </si>
  <si>
    <t>WFG1</t>
  </si>
  <si>
    <t>WFG2</t>
  </si>
  <si>
    <t>WFG3</t>
  </si>
  <si>
    <t>WFG4</t>
  </si>
  <si>
    <t>WFG5</t>
  </si>
  <si>
    <t>WFG6</t>
  </si>
  <si>
    <t>WFG7</t>
  </si>
  <si>
    <t>WFG8</t>
  </si>
  <si>
    <t>WFG9</t>
  </si>
  <si>
    <t>Problem</t>
  </si>
  <si>
    <t>Algorithm</t>
  </si>
  <si>
    <t>M</t>
  </si>
  <si>
    <t>$2$</t>
  </si>
  <si>
    <t>$3$</t>
  </si>
  <si>
    <t>$4$</t>
  </si>
  <si>
    <t>$5$</t>
  </si>
  <si>
    <t>$\overline{R}$</t>
  </si>
  <si>
    <t>GD</t>
  </si>
  <si>
    <t>BS</t>
  </si>
  <si>
    <t>ZDT1</t>
  </si>
  <si>
    <t>ZDT2</t>
  </si>
  <si>
    <t>ZDT4</t>
  </si>
  <si>
    <t>ZDT3</t>
  </si>
  <si>
    <t>ZDT5</t>
  </si>
  <si>
    <t>ZDT6</t>
  </si>
  <si>
    <t>$p$-$v^T$</t>
  </si>
  <si>
    <t>$p$-$v^W$</t>
  </si>
  <si>
    <t>AVS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</si>
</sst>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1" fillId="0" borderId="0" xfId="0" applyFont="1"/>
    <xf numFmtId="0" fontId="0" fillId="0" borderId="11" xfId="0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0" fillId="0" borderId="12" xfId="0" applyBorder="1"/>
    <xf numFmtId="0" fontId="0" fillId="2" borderId="0" xfId="0" applyFill="1"/>
    <xf numFmtId="0" fontId="1" fillId="3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30C5-17DA-496C-A30B-EBF8757A6ECC}">
  <dimension ref="A1:X37"/>
  <sheetViews>
    <sheetView tabSelected="1" zoomScale="145" zoomScaleNormal="145" workbookViewId="0">
      <selection activeCell="J28" sqref="J28"/>
    </sheetView>
  </sheetViews>
  <sheetFormatPr defaultRowHeight="15" x14ac:dyDescent="0.25"/>
  <sheetData>
    <row r="1" spans="1:23" x14ac:dyDescent="0.25">
      <c r="A1" s="6" t="s">
        <v>23</v>
      </c>
      <c r="B1" s="2" t="s">
        <v>24</v>
      </c>
      <c r="F1" s="2" t="s">
        <v>25</v>
      </c>
      <c r="J1" s="2" t="s">
        <v>26</v>
      </c>
      <c r="N1" s="2" t="s">
        <v>27</v>
      </c>
    </row>
    <row r="2" spans="1:23" x14ac:dyDescent="0.25">
      <c r="A2" s="6" t="s">
        <v>22</v>
      </c>
      <c r="B2" s="9" t="s">
        <v>3</v>
      </c>
      <c r="C2" s="6" t="s">
        <v>2</v>
      </c>
      <c r="D2" s="6"/>
      <c r="E2" s="6"/>
      <c r="F2" s="6" t="s">
        <v>3</v>
      </c>
      <c r="G2" s="6" t="s">
        <v>2</v>
      </c>
      <c r="H2" s="6"/>
      <c r="I2" s="6"/>
      <c r="J2" s="6" t="s">
        <v>3</v>
      </c>
      <c r="K2" s="6" t="s">
        <v>2</v>
      </c>
      <c r="L2" s="6"/>
      <c r="M2" s="6"/>
      <c r="N2" s="6" t="s">
        <v>3</v>
      </c>
      <c r="O2" s="6" t="s">
        <v>2</v>
      </c>
      <c r="P2" s="6"/>
      <c r="Q2" s="6"/>
    </row>
    <row r="3" spans="1:23" x14ac:dyDescent="0.25">
      <c r="A3" s="6" t="s">
        <v>21</v>
      </c>
      <c r="B3" s="6" t="s">
        <v>28</v>
      </c>
      <c r="C3" s="6" t="s">
        <v>28</v>
      </c>
      <c r="D3" s="6" t="s">
        <v>37</v>
      </c>
      <c r="E3" s="6" t="s">
        <v>38</v>
      </c>
      <c r="F3" s="6" t="s">
        <v>28</v>
      </c>
      <c r="G3" s="6" t="s">
        <v>28</v>
      </c>
      <c r="H3" s="6" t="s">
        <v>37</v>
      </c>
      <c r="I3" s="6" t="s">
        <v>38</v>
      </c>
      <c r="J3" s="6" t="s">
        <v>28</v>
      </c>
      <c r="K3" s="6" t="s">
        <v>28</v>
      </c>
      <c r="L3" s="6" t="s">
        <v>37</v>
      </c>
      <c r="M3" s="6" t="s">
        <v>38</v>
      </c>
      <c r="N3" s="6" t="s">
        <v>28</v>
      </c>
      <c r="O3" s="6" t="s">
        <v>28</v>
      </c>
      <c r="P3" s="6" t="s">
        <v>37</v>
      </c>
      <c r="Q3" s="6" t="s">
        <v>38</v>
      </c>
    </row>
    <row r="4" spans="1:23" x14ac:dyDescent="0.25">
      <c r="A4" s="6" t="s">
        <v>0</v>
      </c>
      <c r="B4">
        <f>HV!E3</f>
        <v>1.5249999999999999</v>
      </c>
      <c r="C4">
        <f>HV!E4</f>
        <v>1.4750000000000001</v>
      </c>
      <c r="D4">
        <f>HV!F3</f>
        <v>0.9426394085590436</v>
      </c>
      <c r="E4">
        <f>HV!G3</f>
        <v>0.51468340841546567</v>
      </c>
      <c r="F4">
        <f>HV!J3</f>
        <v>1.37</v>
      </c>
      <c r="G4">
        <f>HV!J4</f>
        <v>1.63</v>
      </c>
      <c r="H4">
        <f>HV!K3</f>
        <v>5.5401025425553391E-2</v>
      </c>
      <c r="I4">
        <f>HV!L3</f>
        <v>4.4381621646072513E-3</v>
      </c>
      <c r="J4">
        <f>HV!O3</f>
        <v>1.5</v>
      </c>
      <c r="K4">
        <f>HV!O4</f>
        <v>1.5</v>
      </c>
      <c r="L4">
        <f>HV!P3</f>
        <v>0.79148220164936345</v>
      </c>
      <c r="M4">
        <f>HV!Q3</f>
        <v>0.80580591634045151</v>
      </c>
      <c r="N4">
        <f>HV!T3</f>
        <v>1.49</v>
      </c>
      <c r="O4">
        <f>HV!T4</f>
        <v>1.51</v>
      </c>
      <c r="P4">
        <f>HV!U3</f>
        <v>0.45204178686412744</v>
      </c>
      <c r="Q4">
        <f>HV!V3</f>
        <v>0.67612518136879873</v>
      </c>
      <c r="S4">
        <f>IF(C4&lt;B4,1,0)</f>
        <v>1</v>
      </c>
      <c r="T4">
        <f>IF(G4&lt;F4,1,0)</f>
        <v>0</v>
      </c>
      <c r="U4">
        <f>IF(K4&lt;J4,1,0)</f>
        <v>0</v>
      </c>
      <c r="V4">
        <f>IF(O4&lt;N4,1,0)</f>
        <v>0</v>
      </c>
    </row>
    <row r="5" spans="1:23" x14ac:dyDescent="0.25">
      <c r="A5" s="6" t="s">
        <v>1</v>
      </c>
      <c r="B5">
        <f>HV!E5</f>
        <v>1.5249999999999999</v>
      </c>
      <c r="C5">
        <f>HV!E6</f>
        <v>1.4750000000000001</v>
      </c>
      <c r="D5">
        <f>HV!F5</f>
        <v>0.56537868438137762</v>
      </c>
      <c r="E5">
        <f>HV!G5</f>
        <v>0.91647983093259322</v>
      </c>
      <c r="F5">
        <f>HV!J5</f>
        <v>1.62</v>
      </c>
      <c r="G5">
        <f>HV!J6</f>
        <v>1.38</v>
      </c>
      <c r="H5">
        <f>HV!K5</f>
        <v>0.57996595500351056</v>
      </c>
      <c r="I5">
        <f>HV!L5</f>
        <v>0.16117897702898548</v>
      </c>
      <c r="J5">
        <f>HV!O5</f>
        <v>1.59</v>
      </c>
      <c r="K5">
        <f>HV!O6</f>
        <v>1.41</v>
      </c>
      <c r="L5">
        <f>HV!P5</f>
        <v>0.15222217590134887</v>
      </c>
      <c r="M5">
        <f>HV!Q5</f>
        <v>0.13882018854257663</v>
      </c>
      <c r="N5">
        <f>HV!T5</f>
        <v>1.5149999999999999</v>
      </c>
      <c r="O5">
        <f>HV!T6</f>
        <v>1.4850000000000001</v>
      </c>
      <c r="P5">
        <f>HV!U5</f>
        <v>6.9146697191628123E-2</v>
      </c>
      <c r="Q5">
        <f>HV!V5</f>
        <v>0.21136125977767767</v>
      </c>
      <c r="S5">
        <f t="shared" ref="S5:S25" si="0">IF(C5&lt;B5,1,0)</f>
        <v>1</v>
      </c>
      <c r="T5">
        <f t="shared" ref="T5:T19" si="1">IF(G5&lt;F5,1,0)</f>
        <v>1</v>
      </c>
      <c r="U5">
        <f t="shared" ref="U5:U19" si="2">IF(K5&lt;J5,1,0)</f>
        <v>1</v>
      </c>
      <c r="V5">
        <f t="shared" ref="V5:V19" si="3">IF(O5&lt;N5,1,0)</f>
        <v>1</v>
      </c>
    </row>
    <row r="6" spans="1:23" x14ac:dyDescent="0.25">
      <c r="A6" s="6" t="s">
        <v>7</v>
      </c>
      <c r="B6">
        <f>HV!E7</f>
        <v>1.49</v>
      </c>
      <c r="C6">
        <f>HV!E8</f>
        <v>1.51</v>
      </c>
      <c r="D6">
        <f>HV!F7</f>
        <v>0.81508826923799593</v>
      </c>
      <c r="E6">
        <f>HV!G7</f>
        <v>0.96297757991122834</v>
      </c>
      <c r="F6">
        <f>HV!J7</f>
        <v>1.5</v>
      </c>
      <c r="G6">
        <f>HV!J8</f>
        <v>1.5</v>
      </c>
      <c r="H6">
        <f>HV!K7</f>
        <v>0.99480682507037821</v>
      </c>
      <c r="I6">
        <f>HV!L7</f>
        <v>0.71166570612388247</v>
      </c>
      <c r="J6">
        <f>HV!O7</f>
        <v>1.54</v>
      </c>
      <c r="K6">
        <f>HV!O8</f>
        <v>1.46</v>
      </c>
      <c r="L6">
        <f>HV!P7</f>
        <v>3.1068279587329446E-2</v>
      </c>
      <c r="M6">
        <f>HV!Q7</f>
        <v>0.16324492406312097</v>
      </c>
      <c r="N6">
        <f>HV!T7</f>
        <v>1.5449999999999999</v>
      </c>
      <c r="O6">
        <f>HV!T8</f>
        <v>1.4550000000000001</v>
      </c>
      <c r="P6">
        <f>HV!U7</f>
        <v>0.1931235157757413</v>
      </c>
      <c r="Q6">
        <f>HV!V7</f>
        <v>3.4613555782105357E-2</v>
      </c>
      <c r="S6">
        <f t="shared" si="0"/>
        <v>0</v>
      </c>
      <c r="T6">
        <f t="shared" si="1"/>
        <v>0</v>
      </c>
      <c r="U6">
        <f t="shared" si="2"/>
        <v>1</v>
      </c>
      <c r="V6">
        <f t="shared" si="3"/>
        <v>1</v>
      </c>
      <c r="W6" s="8"/>
    </row>
    <row r="7" spans="1:23" x14ac:dyDescent="0.25">
      <c r="A7" s="6" t="s">
        <v>8</v>
      </c>
      <c r="B7">
        <f>HV!E9</f>
        <v>1.4650000000000001</v>
      </c>
      <c r="C7">
        <f>HV!E10</f>
        <v>1.5349999999999999</v>
      </c>
      <c r="D7">
        <f>HV!F9</f>
        <v>0.22575121515820354</v>
      </c>
      <c r="E7">
        <f>HV!G9</f>
        <v>0.56699609569225007</v>
      </c>
      <c r="F7">
        <f>HV!J9</f>
        <v>1.615</v>
      </c>
      <c r="G7">
        <f>HV!J10</f>
        <v>1.385</v>
      </c>
      <c r="H7" s="25">
        <f>HV!K9</f>
        <v>0.52188461420207055</v>
      </c>
      <c r="I7" s="25">
        <f>HV!L9</f>
        <v>0.15114449115796622</v>
      </c>
      <c r="J7">
        <f>HV!O9</f>
        <v>1.595</v>
      </c>
      <c r="K7">
        <f>HV!O10</f>
        <v>1.405</v>
      </c>
      <c r="L7">
        <f>HV!P9</f>
        <v>0.80326998067240896</v>
      </c>
      <c r="M7">
        <f>HV!Q9</f>
        <v>0.63392620717504977</v>
      </c>
      <c r="N7">
        <f>HV!T9</f>
        <v>1.5549999999999999</v>
      </c>
      <c r="O7">
        <f>HV!T10</f>
        <v>1.4450000000000001</v>
      </c>
      <c r="P7" s="24">
        <f>HV!U9</f>
        <v>8.3673737540430164E-3</v>
      </c>
      <c r="Q7" s="25">
        <f>HV!V9</f>
        <v>0.63392620717504977</v>
      </c>
      <c r="R7" s="8"/>
      <c r="S7">
        <f t="shared" si="0"/>
        <v>0</v>
      </c>
      <c r="T7">
        <f t="shared" si="1"/>
        <v>1</v>
      </c>
      <c r="U7">
        <f t="shared" si="2"/>
        <v>1</v>
      </c>
      <c r="V7">
        <f t="shared" si="3"/>
        <v>1</v>
      </c>
    </row>
    <row r="8" spans="1:23" x14ac:dyDescent="0.25">
      <c r="A8" s="6" t="s">
        <v>9</v>
      </c>
      <c r="B8">
        <f>HV!E11</f>
        <v>1.52</v>
      </c>
      <c r="C8">
        <f>HV!E12</f>
        <v>1.48</v>
      </c>
      <c r="D8">
        <f>HV!F11</f>
        <v>0.24669178599221994</v>
      </c>
      <c r="E8">
        <f>HV!G11</f>
        <v>0.57166271107755806</v>
      </c>
      <c r="F8">
        <f>HV!J11</f>
        <v>1.52</v>
      </c>
      <c r="G8">
        <f>HV!J12</f>
        <v>1.48</v>
      </c>
      <c r="H8">
        <f>HV!K11</f>
        <v>0.62887987668366108</v>
      </c>
      <c r="I8">
        <f>HV!L11</f>
        <v>0.59526551178716913</v>
      </c>
      <c r="J8">
        <f>HV!O11</f>
        <v>1.4550000000000001</v>
      </c>
      <c r="K8">
        <f>HV!O12</f>
        <v>1.5449999999999999</v>
      </c>
      <c r="L8">
        <f>HV!P11</f>
        <v>0.14477094925637313</v>
      </c>
      <c r="M8">
        <f>HV!Q11</f>
        <v>9.1040072973596425E-2</v>
      </c>
      <c r="N8">
        <f>HV!T11</f>
        <v>1.5149999999999999</v>
      </c>
      <c r="O8">
        <f>HV!T12</f>
        <v>1.4850000000000001</v>
      </c>
      <c r="P8">
        <f>HV!U11</f>
        <v>0.96694520318433896</v>
      </c>
      <c r="Q8">
        <f>HV!V11</f>
        <v>0.74784411060453548</v>
      </c>
      <c r="S8">
        <f t="shared" si="0"/>
        <v>1</v>
      </c>
      <c r="T8">
        <f t="shared" si="1"/>
        <v>1</v>
      </c>
      <c r="U8">
        <f t="shared" si="2"/>
        <v>0</v>
      </c>
      <c r="V8">
        <f t="shared" si="3"/>
        <v>1</v>
      </c>
    </row>
    <row r="9" spans="1:23" x14ac:dyDescent="0.25">
      <c r="A9" s="6" t="s">
        <v>10</v>
      </c>
      <c r="B9" s="23">
        <f>HV!E13</f>
        <v>1.4950000000000001</v>
      </c>
      <c r="C9" s="23">
        <f>HV!E14</f>
        <v>1.5049999999999999</v>
      </c>
      <c r="D9">
        <f>HV!F13</f>
        <v>0.40468179202664845</v>
      </c>
      <c r="E9">
        <f>HV!G13</f>
        <v>0.44017133106345463</v>
      </c>
      <c r="F9">
        <f>HV!J13</f>
        <v>1.54</v>
      </c>
      <c r="G9">
        <f>HV!J14</f>
        <v>1.46</v>
      </c>
      <c r="H9" s="25">
        <f>HV!K13</f>
        <v>0.66951607584677553</v>
      </c>
      <c r="I9" s="25">
        <f>HV!L13</f>
        <v>0.87026614899464649</v>
      </c>
      <c r="J9">
        <f>HV!O13</f>
        <v>1.58</v>
      </c>
      <c r="K9">
        <f>HV!O14</f>
        <v>1.42</v>
      </c>
      <c r="L9">
        <f>HV!P13</f>
        <v>8.948939723914788E-2</v>
      </c>
      <c r="M9">
        <f>HV!Q13</f>
        <v>0.49491811369455707</v>
      </c>
      <c r="N9">
        <f>HV!T13</f>
        <v>1.52</v>
      </c>
      <c r="O9">
        <f>HV!T14</f>
        <v>1.48</v>
      </c>
      <c r="P9" s="25">
        <f>HV!U13</f>
        <v>0.97050292641489089</v>
      </c>
      <c r="Q9" s="25">
        <f>HV!V13</f>
        <v>0.81380108193100897</v>
      </c>
      <c r="S9">
        <f t="shared" si="0"/>
        <v>0</v>
      </c>
      <c r="T9">
        <f t="shared" si="1"/>
        <v>1</v>
      </c>
      <c r="U9">
        <f t="shared" si="2"/>
        <v>1</v>
      </c>
      <c r="V9">
        <f t="shared" si="3"/>
        <v>1</v>
      </c>
    </row>
    <row r="10" spans="1:23" x14ac:dyDescent="0.25">
      <c r="A10" s="6" t="s">
        <v>11</v>
      </c>
      <c r="B10">
        <f>HV!E15</f>
        <v>1.5449999999999999</v>
      </c>
      <c r="C10">
        <f>HV!E16</f>
        <v>1.4550000000000001</v>
      </c>
      <c r="D10">
        <f>HV!F15</f>
        <v>0.50184835783730386</v>
      </c>
      <c r="E10">
        <f>HV!G15</f>
        <v>0.43610898105200441</v>
      </c>
      <c r="F10">
        <f>HV!J15</f>
        <v>1.43</v>
      </c>
      <c r="G10">
        <f>HV!J16</f>
        <v>1.57</v>
      </c>
      <c r="H10">
        <f>HV!K15</f>
        <v>0.77887571348893292</v>
      </c>
      <c r="I10">
        <f>HV!L15</f>
        <v>4.3026344047724548E-2</v>
      </c>
      <c r="J10">
        <f>HV!O15</f>
        <v>1.4850000000000001</v>
      </c>
      <c r="K10">
        <f>HV!O16</f>
        <v>1.5149999999999999</v>
      </c>
      <c r="L10">
        <f>HV!P15</f>
        <v>0.8717698069787666</v>
      </c>
      <c r="M10">
        <f>HV!Q15</f>
        <v>0.72194045389795747</v>
      </c>
      <c r="N10">
        <f>HV!T15</f>
        <v>1.61</v>
      </c>
      <c r="O10">
        <f>HV!T16</f>
        <v>1.39</v>
      </c>
      <c r="P10">
        <f>HV!U15</f>
        <v>8.1533605841755175E-2</v>
      </c>
      <c r="Q10">
        <f>HV!V15</f>
        <v>1.1330851092559954E-2</v>
      </c>
      <c r="S10">
        <f t="shared" si="0"/>
        <v>1</v>
      </c>
      <c r="T10">
        <f t="shared" si="1"/>
        <v>0</v>
      </c>
      <c r="U10">
        <f t="shared" si="2"/>
        <v>0</v>
      </c>
      <c r="V10">
        <f t="shared" si="3"/>
        <v>1</v>
      </c>
    </row>
    <row r="11" spans="1:23" x14ac:dyDescent="0.25">
      <c r="A11" s="6" t="s">
        <v>12</v>
      </c>
      <c r="B11">
        <f>HV!E17</f>
        <v>1.58</v>
      </c>
      <c r="C11">
        <f>HV!E18</f>
        <v>1.42</v>
      </c>
      <c r="D11">
        <f>HV!F17</f>
        <v>7.3694113571984368E-2</v>
      </c>
      <c r="E11">
        <f>HV!G17</f>
        <v>6.7629184782360061E-2</v>
      </c>
      <c r="F11">
        <f>HV!J17</f>
        <v>1.405</v>
      </c>
      <c r="G11">
        <f>HV!J18</f>
        <v>1.595</v>
      </c>
      <c r="H11">
        <f>HV!K17</f>
        <v>0.12237126662460161</v>
      </c>
      <c r="I11">
        <f>HV!L17</f>
        <v>8.0396832731831347E-2</v>
      </c>
      <c r="J11">
        <f>HV!O17</f>
        <v>1.49</v>
      </c>
      <c r="K11">
        <f>HV!O18</f>
        <v>1.51</v>
      </c>
      <c r="L11">
        <f>HV!P17</f>
        <v>0.42909011475614572</v>
      </c>
      <c r="M11">
        <f>HV!Q17</f>
        <v>0.76614961763250111</v>
      </c>
      <c r="N11">
        <f>HV!T17</f>
        <v>1.49</v>
      </c>
      <c r="O11">
        <f>HV!T18</f>
        <v>1.51</v>
      </c>
      <c r="P11">
        <f>HV!U17</f>
        <v>0.51972791644821548</v>
      </c>
      <c r="Q11">
        <f>HV!V17</f>
        <v>0.60003892410439341</v>
      </c>
      <c r="S11">
        <f t="shared" si="0"/>
        <v>1</v>
      </c>
      <c r="T11">
        <f t="shared" si="1"/>
        <v>0</v>
      </c>
      <c r="U11">
        <f t="shared" si="2"/>
        <v>0</v>
      </c>
      <c r="V11">
        <f t="shared" si="3"/>
        <v>0</v>
      </c>
    </row>
    <row r="12" spans="1:23" x14ac:dyDescent="0.25">
      <c r="A12" s="6" t="s">
        <v>13</v>
      </c>
      <c r="B12">
        <f>HV!E19</f>
        <v>1.425</v>
      </c>
      <c r="C12">
        <f>HV!E20</f>
        <v>1.575</v>
      </c>
      <c r="D12" s="25">
        <f>HV!F19</f>
        <v>0.46785879367211652</v>
      </c>
      <c r="E12" s="25">
        <f>HV!G19</f>
        <v>0.12305204238463287</v>
      </c>
      <c r="F12">
        <f>HV!J19</f>
        <v>1.5</v>
      </c>
      <c r="G12">
        <f>HV!J20</f>
        <v>1.5</v>
      </c>
      <c r="H12">
        <f>HV!K19</f>
        <v>0.65693677512652748</v>
      </c>
      <c r="I12">
        <f>HV!L19</f>
        <v>0.81380108193100897</v>
      </c>
      <c r="J12">
        <f>HV!O19</f>
        <v>1.51</v>
      </c>
      <c r="K12">
        <f>HV!O20</f>
        <v>1.49</v>
      </c>
      <c r="L12">
        <f>HV!P19</f>
        <v>0.39442603075124383</v>
      </c>
      <c r="M12">
        <f>HV!Q19</f>
        <v>0.36311954018837089</v>
      </c>
      <c r="N12">
        <f>HV!T19</f>
        <v>1.38</v>
      </c>
      <c r="O12">
        <f>HV!T20</f>
        <v>1.62</v>
      </c>
      <c r="P12">
        <f>HV!U19</f>
        <v>7.7762373035219958E-4</v>
      </c>
      <c r="Q12">
        <f>HV!V19</f>
        <v>1.2071604081471507E-3</v>
      </c>
      <c r="S12">
        <f t="shared" si="0"/>
        <v>0</v>
      </c>
      <c r="T12">
        <f t="shared" si="1"/>
        <v>0</v>
      </c>
      <c r="U12">
        <f t="shared" si="2"/>
        <v>1</v>
      </c>
      <c r="V12">
        <f t="shared" si="3"/>
        <v>0</v>
      </c>
    </row>
    <row r="13" spans="1:23" x14ac:dyDescent="0.25">
      <c r="A13" s="6" t="s">
        <v>14</v>
      </c>
      <c r="B13">
        <f>HV!E21</f>
        <v>1.5349999999999999</v>
      </c>
      <c r="C13">
        <f>HV!E22</f>
        <v>1.4650000000000001</v>
      </c>
      <c r="D13" s="25">
        <f>HV!F21</f>
        <v>0.35870481457691478</v>
      </c>
      <c r="E13" s="25">
        <f>HV!G21</f>
        <v>0.31290349694263137</v>
      </c>
      <c r="F13">
        <f>HV!J21</f>
        <v>1.4850000000000001</v>
      </c>
      <c r="G13">
        <f>HV!J22</f>
        <v>1.5149999999999999</v>
      </c>
      <c r="H13">
        <f>HV!K21</f>
        <v>0.14941680271922064</v>
      </c>
      <c r="I13">
        <f>HV!L21</f>
        <v>0.52808458934918412</v>
      </c>
      <c r="J13">
        <f>HV!O21</f>
        <v>1.49</v>
      </c>
      <c r="K13">
        <f>HV!O22</f>
        <v>1.51</v>
      </c>
      <c r="L13">
        <f>HV!P21</f>
        <v>0.75143013285534643</v>
      </c>
      <c r="M13">
        <f>HV!Q21</f>
        <v>0.84058753917170193</v>
      </c>
      <c r="N13">
        <f>HV!T21</f>
        <v>1.45</v>
      </c>
      <c r="O13">
        <f>HV!T22</f>
        <v>1.55</v>
      </c>
      <c r="P13">
        <f>HV!U21</f>
        <v>0.88727337831892383</v>
      </c>
      <c r="Q13">
        <f>HV!V21</f>
        <v>0.41219303374722593</v>
      </c>
      <c r="S13">
        <f t="shared" si="0"/>
        <v>1</v>
      </c>
      <c r="T13">
        <f t="shared" si="1"/>
        <v>0</v>
      </c>
      <c r="U13">
        <f t="shared" si="2"/>
        <v>0</v>
      </c>
      <c r="V13">
        <f t="shared" si="3"/>
        <v>0</v>
      </c>
    </row>
    <row r="14" spans="1:23" x14ac:dyDescent="0.25">
      <c r="A14" s="6" t="s">
        <v>15</v>
      </c>
      <c r="B14">
        <f>HV!E23</f>
        <v>1.52</v>
      </c>
      <c r="C14">
        <f>HV!E24</f>
        <v>1.48</v>
      </c>
      <c r="D14" s="25">
        <f>HV!F23</f>
        <v>0.33503451561985775</v>
      </c>
      <c r="E14" s="25">
        <f>HV!G23</f>
        <v>0.48197010760519099</v>
      </c>
      <c r="F14">
        <f>HV!J23</f>
        <v>1.51</v>
      </c>
      <c r="G14">
        <f>HV!J24</f>
        <v>1.49</v>
      </c>
      <c r="H14">
        <f>HV!K23</f>
        <v>0.74953687384994727</v>
      </c>
      <c r="I14">
        <f>HV!L23</f>
        <v>0.4220621027365421</v>
      </c>
      <c r="J14">
        <f>HV!O23</f>
        <v>1.56</v>
      </c>
      <c r="K14">
        <f>HV!O24</f>
        <v>1.44</v>
      </c>
      <c r="L14">
        <f>HV!P23</f>
        <v>0.17177773213832903</v>
      </c>
      <c r="M14">
        <f>HV!Q23</f>
        <v>0.19429845899680276</v>
      </c>
      <c r="N14">
        <f>HV!T23</f>
        <v>1.52</v>
      </c>
      <c r="O14">
        <f>HV!T24</f>
        <v>1.48</v>
      </c>
      <c r="P14">
        <f>HV!U23</f>
        <v>0.83515349666369354</v>
      </c>
      <c r="Q14">
        <f>HV!V23</f>
        <v>0.89468728716704149</v>
      </c>
      <c r="S14">
        <f t="shared" si="0"/>
        <v>1</v>
      </c>
      <c r="T14">
        <f t="shared" si="1"/>
        <v>1</v>
      </c>
      <c r="U14">
        <f t="shared" si="2"/>
        <v>1</v>
      </c>
      <c r="V14">
        <f t="shared" si="3"/>
        <v>1</v>
      </c>
    </row>
    <row r="15" spans="1:23" x14ac:dyDescent="0.25">
      <c r="A15" s="6" t="s">
        <v>16</v>
      </c>
      <c r="B15">
        <f>HV!E25</f>
        <v>1.5</v>
      </c>
      <c r="C15">
        <f>HV!E26</f>
        <v>1.5</v>
      </c>
      <c r="D15" s="25">
        <f>HV!F25</f>
        <v>0.49543167539426008</v>
      </c>
      <c r="E15" s="25">
        <f>HV!G25</f>
        <v>0.53259083557228071</v>
      </c>
      <c r="F15">
        <f>HV!J25</f>
        <v>1.575</v>
      </c>
      <c r="G15">
        <f>HV!J26</f>
        <v>1.425</v>
      </c>
      <c r="H15">
        <f>HV!K25</f>
        <v>0.84906900130554475</v>
      </c>
      <c r="I15">
        <f>HV!L25</f>
        <v>0.33482030526977102</v>
      </c>
      <c r="J15">
        <f>HV!O25</f>
        <v>1.53</v>
      </c>
      <c r="K15">
        <f>HV!O26</f>
        <v>1.47</v>
      </c>
      <c r="L15">
        <f>HV!P25</f>
        <v>0.45375895541857092</v>
      </c>
      <c r="M15">
        <f>HV!Q25</f>
        <v>0.32289883126317398</v>
      </c>
      <c r="N15">
        <f>HV!T25</f>
        <v>1.4850000000000001</v>
      </c>
      <c r="O15">
        <f>HV!T26</f>
        <v>1.5149999999999999</v>
      </c>
      <c r="P15" s="25">
        <f>HV!U25</f>
        <v>0.95286544557826613</v>
      </c>
      <c r="Q15" s="25">
        <f>HV!V25</f>
        <v>0.6988957296826559</v>
      </c>
      <c r="R15" s="8"/>
      <c r="S15">
        <f t="shared" si="0"/>
        <v>0</v>
      </c>
      <c r="T15">
        <f t="shared" si="1"/>
        <v>1</v>
      </c>
      <c r="U15">
        <f t="shared" si="2"/>
        <v>1</v>
      </c>
      <c r="V15">
        <f t="shared" si="3"/>
        <v>0</v>
      </c>
    </row>
    <row r="16" spans="1:23" x14ac:dyDescent="0.25">
      <c r="A16" s="6" t="s">
        <v>17</v>
      </c>
      <c r="B16" s="23">
        <f>HV!E27</f>
        <v>1.43</v>
      </c>
      <c r="C16" s="23">
        <f>HV!E28</f>
        <v>1.57</v>
      </c>
      <c r="D16" s="25">
        <f>HV!F27</f>
        <v>0.60558774159526541</v>
      </c>
      <c r="E16" s="25">
        <f>HV!G27</f>
        <v>0.45455929379668741</v>
      </c>
      <c r="F16">
        <f>HV!J27</f>
        <v>1.5049999999999999</v>
      </c>
      <c r="G16">
        <f>HV!J28</f>
        <v>1.4950000000000001</v>
      </c>
      <c r="H16">
        <f>HV!K27</f>
        <v>0.67676941783817501</v>
      </c>
      <c r="I16">
        <f>HV!L27</f>
        <v>0.58105034803348798</v>
      </c>
      <c r="J16">
        <f>HV!O27</f>
        <v>1.58</v>
      </c>
      <c r="K16">
        <f>HV!O28</f>
        <v>1.42</v>
      </c>
      <c r="L16">
        <f>HV!P27</f>
        <v>0.14061464889424047</v>
      </c>
      <c r="M16">
        <f>HV!Q27</f>
        <v>0.15509961682087028</v>
      </c>
      <c r="N16" s="23">
        <f>HV!T27</f>
        <v>1.5</v>
      </c>
      <c r="O16" s="23">
        <f>HV!T28</f>
        <v>1.5</v>
      </c>
      <c r="P16" s="25">
        <f>HV!U27</f>
        <v>0.93213859198526994</v>
      </c>
      <c r="Q16" s="25">
        <f>HV!V27</f>
        <v>0.84058753917170193</v>
      </c>
      <c r="S16">
        <f t="shared" si="0"/>
        <v>0</v>
      </c>
      <c r="T16">
        <f t="shared" si="1"/>
        <v>1</v>
      </c>
      <c r="U16">
        <f t="shared" si="2"/>
        <v>1</v>
      </c>
      <c r="V16">
        <f t="shared" si="3"/>
        <v>0</v>
      </c>
    </row>
    <row r="17" spans="1:24" x14ac:dyDescent="0.25">
      <c r="A17" s="6" t="s">
        <v>18</v>
      </c>
      <c r="B17">
        <f>HV!E29</f>
        <v>1.49</v>
      </c>
      <c r="C17">
        <f>HV!E30</f>
        <v>1.51</v>
      </c>
      <c r="D17" s="25">
        <f>HV!F29</f>
        <v>0.55820482473542277</v>
      </c>
      <c r="E17" s="25">
        <f>HV!G29</f>
        <v>0.42604819317593379</v>
      </c>
      <c r="F17">
        <f>HV!J29</f>
        <v>1.54</v>
      </c>
      <c r="G17">
        <f>HV!J30</f>
        <v>1.46</v>
      </c>
      <c r="H17">
        <f>HV!K29</f>
        <v>0.33971723630691009</v>
      </c>
      <c r="I17">
        <f>HV!L29</f>
        <v>0.30311409392753075</v>
      </c>
      <c r="J17">
        <f>HV!O29</f>
        <v>1.46</v>
      </c>
      <c r="K17">
        <f>HV!O30</f>
        <v>1.54</v>
      </c>
      <c r="L17">
        <f>HV!P29</f>
        <v>0.73579403362646112</v>
      </c>
      <c r="M17">
        <f>HV!Q29</f>
        <v>0.97668453556314205</v>
      </c>
      <c r="N17">
        <f>HV!T29</f>
        <v>1.62</v>
      </c>
      <c r="O17">
        <f>HV!T30</f>
        <v>1.38</v>
      </c>
      <c r="P17">
        <f>HV!U29</f>
        <v>0.35571535205222293</v>
      </c>
      <c r="Q17">
        <f>HV!V29</f>
        <v>4.0606815458079218E-2</v>
      </c>
      <c r="R17" s="8"/>
      <c r="S17">
        <f t="shared" si="0"/>
        <v>0</v>
      </c>
      <c r="T17">
        <f t="shared" si="1"/>
        <v>1</v>
      </c>
      <c r="U17">
        <f t="shared" si="2"/>
        <v>0</v>
      </c>
      <c r="V17">
        <f t="shared" si="3"/>
        <v>1</v>
      </c>
    </row>
    <row r="18" spans="1:24" x14ac:dyDescent="0.25">
      <c r="A18" s="6" t="s">
        <v>19</v>
      </c>
      <c r="B18">
        <f>HV!E31</f>
        <v>1.5549999999999999</v>
      </c>
      <c r="C18">
        <f>HV!E32</f>
        <v>1.4450000000000001</v>
      </c>
      <c r="D18" s="25">
        <f>HV!F31</f>
        <v>0.22470646214327833</v>
      </c>
      <c r="E18" s="25">
        <f>HV!G31</f>
        <v>0.15212599330172194</v>
      </c>
      <c r="F18">
        <f>HV!J31</f>
        <v>1.68</v>
      </c>
      <c r="G18">
        <f>HV!J32</f>
        <v>1.32</v>
      </c>
      <c r="H18">
        <f>HV!K31</f>
        <v>0.29804271535447646</v>
      </c>
      <c r="I18">
        <f>HV!L31</f>
        <v>3.7031093143242354E-4</v>
      </c>
      <c r="J18">
        <f>HV!O31</f>
        <v>1.54</v>
      </c>
      <c r="K18">
        <f>HV!O32</f>
        <v>1.46</v>
      </c>
      <c r="L18">
        <f>HV!P31</f>
        <v>0.61111555477795454</v>
      </c>
      <c r="M18">
        <f>HV!Q31</f>
        <v>0.98216947335223692</v>
      </c>
      <c r="N18">
        <f>HV!T31</f>
        <v>1.53</v>
      </c>
      <c r="O18">
        <f>HV!T32</f>
        <v>1.47</v>
      </c>
      <c r="P18">
        <f>HV!U31</f>
        <v>0.40106424939782576</v>
      </c>
      <c r="Q18">
        <f>HV!V31</f>
        <v>0.35770242655370271</v>
      </c>
      <c r="S18">
        <f t="shared" si="0"/>
        <v>1</v>
      </c>
      <c r="T18">
        <f t="shared" si="1"/>
        <v>1</v>
      </c>
      <c r="U18">
        <f t="shared" si="2"/>
        <v>1</v>
      </c>
      <c r="V18">
        <f t="shared" si="3"/>
        <v>1</v>
      </c>
    </row>
    <row r="19" spans="1:24" x14ac:dyDescent="0.25">
      <c r="A19" s="6" t="s">
        <v>20</v>
      </c>
      <c r="B19" s="23">
        <f>HV!E33</f>
        <v>1.59</v>
      </c>
      <c r="C19" s="23">
        <f>HV!E34</f>
        <v>1.41</v>
      </c>
      <c r="D19" s="25">
        <f>HV!F33</f>
        <v>0.16468009360331673</v>
      </c>
      <c r="E19" s="25">
        <f>HV!G33</f>
        <v>0.1238896752085648</v>
      </c>
      <c r="F19">
        <f>HV!J33</f>
        <v>1.4450000000000001</v>
      </c>
      <c r="G19">
        <f>HV!J34</f>
        <v>1.5549999999999999</v>
      </c>
      <c r="H19">
        <f>HV!K33</f>
        <v>0.38130549523041907</v>
      </c>
      <c r="I19">
        <f>HV!L33</f>
        <v>0.39860863913172351</v>
      </c>
      <c r="J19">
        <f>HV!O33</f>
        <v>1.4950000000000001</v>
      </c>
      <c r="K19">
        <f>HV!O34</f>
        <v>1.5049999999999999</v>
      </c>
      <c r="L19">
        <f>HV!P33</f>
        <v>0.97689848372310251</v>
      </c>
      <c r="M19">
        <f>HV!Q33</f>
        <v>0.70910509422205159</v>
      </c>
      <c r="N19">
        <f>HV!T33</f>
        <v>1.4550000000000001</v>
      </c>
      <c r="O19">
        <f>HV!T34</f>
        <v>1.5449999999999999</v>
      </c>
      <c r="P19" s="25">
        <f>HV!U33</f>
        <v>0.5107898483394907</v>
      </c>
      <c r="Q19" s="25">
        <f>HV!V33</f>
        <v>0.30311409392753075</v>
      </c>
      <c r="R19" s="8"/>
      <c r="S19">
        <f t="shared" si="0"/>
        <v>1</v>
      </c>
      <c r="T19">
        <f t="shared" si="1"/>
        <v>0</v>
      </c>
      <c r="U19">
        <f t="shared" si="2"/>
        <v>0</v>
      </c>
      <c r="V19">
        <f t="shared" si="3"/>
        <v>0</v>
      </c>
    </row>
    <row r="20" spans="1:24" x14ac:dyDescent="0.25">
      <c r="A20" s="6" t="s">
        <v>31</v>
      </c>
      <c r="B20">
        <f>HV!E35</f>
        <v>1.5649999999999999</v>
      </c>
      <c r="C20">
        <f>HV!E36</f>
        <v>1.4350000000000001</v>
      </c>
      <c r="D20" s="25">
        <f>HV!F35</f>
        <v>0.22477317953045009</v>
      </c>
      <c r="E20" s="25">
        <f>HV!G35</f>
        <v>0.30635435355676371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S20">
        <f t="shared" si="0"/>
        <v>1</v>
      </c>
    </row>
    <row r="21" spans="1:24" x14ac:dyDescent="0.25">
      <c r="A21" s="6" t="s">
        <v>32</v>
      </c>
      <c r="B21">
        <f>HV!E37</f>
        <v>1.51</v>
      </c>
      <c r="C21">
        <f>HV!E38</f>
        <v>1.49</v>
      </c>
      <c r="D21" s="25">
        <f>HV!F37</f>
        <v>0.21286883085670888</v>
      </c>
      <c r="E21" s="25">
        <f>HV!G37</f>
        <v>0.83253069981514261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S21">
        <f t="shared" si="0"/>
        <v>1</v>
      </c>
    </row>
    <row r="22" spans="1:24" x14ac:dyDescent="0.25">
      <c r="A22" s="6" t="s">
        <v>34</v>
      </c>
      <c r="B22">
        <f>HV!E39</f>
        <v>1.53</v>
      </c>
      <c r="C22">
        <f>HV!E40</f>
        <v>1.47</v>
      </c>
      <c r="D22" s="25">
        <f>HV!F39</f>
        <v>0.80342708031039889</v>
      </c>
      <c r="E22" s="25">
        <f>HV!G39</f>
        <v>0.98491227458612174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S22">
        <f t="shared" si="0"/>
        <v>1</v>
      </c>
    </row>
    <row r="23" spans="1:24" x14ac:dyDescent="0.25">
      <c r="A23" s="6" t="s">
        <v>33</v>
      </c>
      <c r="B23">
        <f>HV!E41</f>
        <v>1.5549999999999999</v>
      </c>
      <c r="C23">
        <f>HV!E42</f>
        <v>1.4450000000000001</v>
      </c>
      <c r="D23">
        <f>HV!F41</f>
        <v>0.52722688399725526</v>
      </c>
      <c r="E23">
        <f>HV!G41</f>
        <v>0.4755658548014236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S23">
        <f t="shared" si="0"/>
        <v>1</v>
      </c>
    </row>
    <row r="24" spans="1:24" x14ac:dyDescent="0.25">
      <c r="A24" s="6" t="s">
        <v>35</v>
      </c>
      <c r="B24">
        <f>HV!E43</f>
        <v>1.425</v>
      </c>
      <c r="C24">
        <f>HV!E44</f>
        <v>1.575</v>
      </c>
      <c r="D24" s="25">
        <f>HV!F43</f>
        <v>0.30164189144344328</v>
      </c>
      <c r="E24" s="24">
        <f>HV!G43</f>
        <v>3.2885324259221943E-2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S24">
        <f t="shared" si="0"/>
        <v>0</v>
      </c>
    </row>
    <row r="25" spans="1:24" x14ac:dyDescent="0.25">
      <c r="A25" s="6" t="s">
        <v>36</v>
      </c>
      <c r="B25">
        <f>HV!E45</f>
        <v>1.51</v>
      </c>
      <c r="C25">
        <f>HV!E46</f>
        <v>1.49</v>
      </c>
      <c r="D25">
        <f>HV!F45</f>
        <v>0.30291764910224411</v>
      </c>
      <c r="E25">
        <f>HV!G45</f>
        <v>0.79783099931211132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S25">
        <f t="shared" si="0"/>
        <v>1</v>
      </c>
    </row>
    <row r="27" spans="1:24" x14ac:dyDescent="0.25">
      <c r="R27" s="8"/>
      <c r="T27" s="8"/>
      <c r="V27" s="8"/>
      <c r="X27" s="8"/>
    </row>
    <row r="28" spans="1:24" x14ac:dyDescent="0.25">
      <c r="B28">
        <f>AVERAGE(B4:B25,F4:F19,J4:J19,N4:N19)</f>
        <v>1.5157857142857143</v>
      </c>
      <c r="C28">
        <f>AVERAGE(C4:C25,G4:G19,K4:K19,O4:O19)</f>
        <v>1.4842142857142857</v>
      </c>
    </row>
    <row r="29" spans="1:24" x14ac:dyDescent="0.25">
      <c r="B29">
        <f>SUM(B4:B25,F4:F19,J4:J19,N4:N19)*100</f>
        <v>10610.5</v>
      </c>
      <c r="C29">
        <f>SUM(C4:C25,G4:G19,K4:K19,O4:O19)*100</f>
        <v>10389.5</v>
      </c>
      <c r="D29">
        <f>B29+C29</f>
        <v>21000</v>
      </c>
      <c r="R29" s="8"/>
      <c r="T29" s="8"/>
      <c r="V29" s="8"/>
      <c r="X29" s="8"/>
    </row>
    <row r="31" spans="1:24" x14ac:dyDescent="0.25">
      <c r="R31" s="8"/>
      <c r="T31" s="8"/>
      <c r="V31" s="8"/>
      <c r="X31" s="8"/>
    </row>
    <row r="33" spans="18:24" x14ac:dyDescent="0.25">
      <c r="R33" s="8"/>
      <c r="T33" s="8"/>
      <c r="V33" s="8"/>
      <c r="X33" s="8"/>
    </row>
    <row r="35" spans="18:24" x14ac:dyDescent="0.25">
      <c r="R35" s="8"/>
      <c r="T35" s="8"/>
      <c r="V35" s="8"/>
      <c r="X35" s="8"/>
    </row>
    <row r="37" spans="18:24" x14ac:dyDescent="0.25">
      <c r="R37" s="8"/>
      <c r="T37" s="8"/>
      <c r="V37" s="8"/>
      <c r="X37" s="8"/>
    </row>
  </sheetData>
  <conditionalFormatting sqref="H4:I6 L4:M19 P4:Q19 D4:E25 H8:I19 I7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2632-4CD2-4AB0-BB87-C7CCF68904C3}">
  <dimension ref="A1:AB181"/>
  <sheetViews>
    <sheetView zoomScaleNormal="100" workbookViewId="0">
      <selection activeCell="Y27" sqref="Y27"/>
    </sheetView>
  </sheetViews>
  <sheetFormatPr defaultRowHeight="15" x14ac:dyDescent="0.25"/>
  <cols>
    <col min="5" max="5" width="14" bestFit="1" customWidth="1"/>
    <col min="6" max="6" width="12.42578125" bestFit="1" customWidth="1"/>
    <col min="7" max="7" width="9.85546875" bestFit="1" customWidth="1"/>
  </cols>
  <sheetData>
    <row r="1" spans="1:22" x14ac:dyDescent="0.25">
      <c r="A1" s="6" t="s">
        <v>6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0.27681289393852898</v>
      </c>
      <c r="D3" s="21">
        <v>7.3976842738590523E-2</v>
      </c>
      <c r="E3" s="21">
        <v>1.5249999999999999</v>
      </c>
      <c r="F3" s="22">
        <v>0.9426394085590436</v>
      </c>
      <c r="G3" s="21">
        <v>0.51468340841546567</v>
      </c>
      <c r="H3" s="22">
        <v>0.27772780394995022</v>
      </c>
      <c r="I3" s="22">
        <v>0.1498998228128067</v>
      </c>
      <c r="J3" s="21">
        <v>1.37</v>
      </c>
      <c r="K3" s="22">
        <v>5.5401025425553391E-2</v>
      </c>
      <c r="L3" s="21">
        <v>4.4381621646072513E-3</v>
      </c>
      <c r="M3" s="21">
        <v>0.45854834505127828</v>
      </c>
      <c r="N3" s="21">
        <v>0.20716006103208889</v>
      </c>
      <c r="O3" s="21">
        <v>1.5</v>
      </c>
      <c r="P3" s="22">
        <v>0.79148220164936345</v>
      </c>
      <c r="Q3" s="21">
        <v>0.80580591634045151</v>
      </c>
      <c r="R3" s="22">
        <v>0.53565084194171431</v>
      </c>
      <c r="S3" s="22">
        <v>0.20996109347123187</v>
      </c>
      <c r="T3" s="21">
        <v>1.49</v>
      </c>
      <c r="U3" s="22">
        <v>0.45204178686412744</v>
      </c>
      <c r="V3" s="21">
        <v>0.67612518136879873</v>
      </c>
    </row>
    <row r="4" spans="1:22" x14ac:dyDescent="0.25">
      <c r="A4" s="4"/>
      <c r="B4" s="4" t="s">
        <v>2</v>
      </c>
      <c r="C4" s="21">
        <v>0.27666319054999128</v>
      </c>
      <c r="D4" s="21">
        <v>7.4819181747309449E-2</v>
      </c>
      <c r="E4" s="21">
        <v>1.4750000000000001</v>
      </c>
      <c r="F4" s="22"/>
      <c r="G4" s="21"/>
      <c r="H4" s="22">
        <v>0.26586124147845142</v>
      </c>
      <c r="I4" s="22">
        <v>0.15396498147425602</v>
      </c>
      <c r="J4" s="21">
        <v>1.63</v>
      </c>
      <c r="K4" s="22"/>
      <c r="L4" s="21"/>
      <c r="M4" s="21">
        <v>0.45316058589623248</v>
      </c>
      <c r="N4" s="21">
        <v>0.19517551184382315</v>
      </c>
      <c r="O4" s="21">
        <v>1.5</v>
      </c>
      <c r="P4" s="22"/>
      <c r="Q4" s="21"/>
      <c r="R4" s="22">
        <v>0.51602580604201753</v>
      </c>
      <c r="S4" s="22">
        <v>0.21960368581316572</v>
      </c>
      <c r="T4" s="21">
        <v>1.51</v>
      </c>
      <c r="U4" s="22"/>
      <c r="V4" s="21"/>
    </row>
    <row r="5" spans="1:22" x14ac:dyDescent="0.25">
      <c r="A5" s="1" t="s">
        <v>1</v>
      </c>
      <c r="B5" s="1" t="s">
        <v>3</v>
      </c>
      <c r="C5" s="22">
        <v>0.12348682789266922</v>
      </c>
      <c r="D5" s="22">
        <v>1.6877011376448838E-2</v>
      </c>
      <c r="E5" s="22">
        <v>1.5249999999999999</v>
      </c>
      <c r="F5" s="21">
        <v>0.56537868438137762</v>
      </c>
      <c r="G5" s="22">
        <v>0.91647983093259322</v>
      </c>
      <c r="H5" s="21">
        <v>0.13119317475309472</v>
      </c>
      <c r="I5" s="21">
        <v>2.6008279479860542E-2</v>
      </c>
      <c r="J5" s="22">
        <v>1.62</v>
      </c>
      <c r="K5" s="21">
        <v>0.57996595500351056</v>
      </c>
      <c r="L5" s="22">
        <v>0.16117897702898548</v>
      </c>
      <c r="M5" s="22">
        <v>0.17403532546997824</v>
      </c>
      <c r="N5" s="22">
        <v>7.9210996232765882E-2</v>
      </c>
      <c r="O5" s="22">
        <v>1.59</v>
      </c>
      <c r="P5" s="21">
        <v>0.15222217590134887</v>
      </c>
      <c r="Q5" s="22">
        <v>0.13882018854257663</v>
      </c>
      <c r="R5" s="21">
        <v>0.20654813294107643</v>
      </c>
      <c r="S5" s="21">
        <v>7.7496924487558197E-2</v>
      </c>
      <c r="T5" s="22">
        <v>1.5149999999999999</v>
      </c>
      <c r="U5" s="21">
        <v>6.9146697191628123E-2</v>
      </c>
      <c r="V5" s="22">
        <v>0.21136125977767767</v>
      </c>
    </row>
    <row r="6" spans="1:22" x14ac:dyDescent="0.25">
      <c r="A6" s="3"/>
      <c r="B6" s="3" t="s">
        <v>2</v>
      </c>
      <c r="C6" s="22">
        <v>0.12364201620874883</v>
      </c>
      <c r="D6" s="22">
        <v>1.6656750542661455E-2</v>
      </c>
      <c r="E6" s="22">
        <v>1.4750000000000001</v>
      </c>
      <c r="F6" s="21"/>
      <c r="G6" s="22"/>
      <c r="H6" s="21">
        <v>0.13157540485075134</v>
      </c>
      <c r="I6" s="21">
        <v>2.5599591834240886E-2</v>
      </c>
      <c r="J6" s="22">
        <v>1.38</v>
      </c>
      <c r="K6" s="21"/>
      <c r="L6" s="22"/>
      <c r="M6" s="22">
        <v>0.1843799397140958</v>
      </c>
      <c r="N6" s="22">
        <v>8.2187885359291807E-2</v>
      </c>
      <c r="O6" s="22">
        <v>1.41</v>
      </c>
      <c r="P6" s="21"/>
      <c r="Q6" s="22"/>
      <c r="R6" s="21">
        <v>0.22414372318327785</v>
      </c>
      <c r="S6" s="21">
        <v>8.6891148077839514E-2</v>
      </c>
      <c r="T6" s="22">
        <v>1.4850000000000001</v>
      </c>
      <c r="U6" s="21"/>
      <c r="V6" s="22"/>
    </row>
    <row r="7" spans="1:22" x14ac:dyDescent="0.25">
      <c r="A7" s="1" t="s">
        <v>7</v>
      </c>
      <c r="B7" s="1" t="s">
        <v>3</v>
      </c>
      <c r="C7" s="21">
        <v>0.12568127531531029</v>
      </c>
      <c r="D7" s="21">
        <v>2.2049371391555279E-2</v>
      </c>
      <c r="E7" s="21">
        <v>1.49</v>
      </c>
      <c r="F7" s="22">
        <v>0.81508826923799593</v>
      </c>
      <c r="G7" s="21">
        <v>0.96297757991122834</v>
      </c>
      <c r="H7" s="22">
        <v>0.14168968798550327</v>
      </c>
      <c r="I7" s="22">
        <v>3.7548688276167301E-2</v>
      </c>
      <c r="J7" s="21">
        <v>1.5</v>
      </c>
      <c r="K7" s="22">
        <v>0.99480682507037821</v>
      </c>
      <c r="L7" s="21">
        <v>0.71166570612388247</v>
      </c>
      <c r="M7" s="21">
        <v>0.11822572571812319</v>
      </c>
      <c r="N7" s="21">
        <v>0.11501634258317563</v>
      </c>
      <c r="O7" s="21">
        <v>1.54</v>
      </c>
      <c r="P7" s="22">
        <v>3.1068279587329446E-2</v>
      </c>
      <c r="Q7" s="21">
        <v>0.16324492406312097</v>
      </c>
      <c r="R7" s="22">
        <v>4.4920800317521034E-2</v>
      </c>
      <c r="S7" s="22">
        <v>0.11308385046839552</v>
      </c>
      <c r="T7" s="21">
        <v>1.5449999999999999</v>
      </c>
      <c r="U7" s="22">
        <v>0.1931235157757413</v>
      </c>
      <c r="V7" s="21">
        <v>3.4613555782105357E-2</v>
      </c>
    </row>
    <row r="8" spans="1:22" x14ac:dyDescent="0.25">
      <c r="A8" s="3"/>
      <c r="B8" s="3" t="s">
        <v>2</v>
      </c>
      <c r="C8" s="21">
        <v>0.12521861833418119</v>
      </c>
      <c r="D8" s="21">
        <v>2.6908555152068393E-2</v>
      </c>
      <c r="E8" s="21">
        <v>1.51</v>
      </c>
      <c r="F8" s="22"/>
      <c r="G8" s="21"/>
      <c r="H8" s="22">
        <v>0.14166778177239331</v>
      </c>
      <c r="I8" s="22">
        <v>3.8805499613249909E-2</v>
      </c>
      <c r="J8" s="21">
        <v>1.5</v>
      </c>
      <c r="K8" s="22"/>
      <c r="L8" s="21"/>
      <c r="M8" s="21">
        <v>0.1501632607799154</v>
      </c>
      <c r="N8" s="21">
        <v>0.11577833453285485</v>
      </c>
      <c r="O8" s="21">
        <v>1.46</v>
      </c>
      <c r="P8" s="22"/>
      <c r="Q8" s="21"/>
      <c r="R8" s="22">
        <v>6.3759714126133543E-2</v>
      </c>
      <c r="S8" s="22">
        <v>0.11785920140032231</v>
      </c>
      <c r="T8" s="21">
        <v>1.4550000000000001</v>
      </c>
      <c r="U8" s="22"/>
      <c r="V8" s="21"/>
    </row>
    <row r="9" spans="1:22" x14ac:dyDescent="0.25">
      <c r="A9" s="1" t="s">
        <v>8</v>
      </c>
      <c r="B9" s="1" t="s">
        <v>3</v>
      </c>
      <c r="C9" s="22">
        <v>0.12338769222766618</v>
      </c>
      <c r="D9" s="22">
        <v>1.7727875797594442E-2</v>
      </c>
      <c r="E9" s="22">
        <v>1.4650000000000001</v>
      </c>
      <c r="F9" s="21">
        <v>0.22575121515820354</v>
      </c>
      <c r="G9" s="22">
        <v>0.56699609569225007</v>
      </c>
      <c r="H9" s="21">
        <v>0.14743775984287341</v>
      </c>
      <c r="I9" s="21">
        <v>5.4651706922391241E-2</v>
      </c>
      <c r="J9" s="22">
        <v>1.615</v>
      </c>
      <c r="K9" s="21">
        <v>0.52188461420207055</v>
      </c>
      <c r="L9" s="22">
        <v>0.15114449115796622</v>
      </c>
      <c r="M9" s="22">
        <v>0.16520830418878826</v>
      </c>
      <c r="N9" s="22">
        <v>9.6960051137432529E-2</v>
      </c>
      <c r="O9" s="22">
        <v>1.595</v>
      </c>
      <c r="P9" s="21">
        <v>0.80326998067240896</v>
      </c>
      <c r="Q9" s="22">
        <v>0.63392620717504977</v>
      </c>
      <c r="R9" s="21">
        <v>0.27639833524984342</v>
      </c>
      <c r="S9" s="21">
        <v>0.252587130639918</v>
      </c>
      <c r="T9" s="22">
        <v>1.5549999999999999</v>
      </c>
      <c r="U9" s="21">
        <v>8.3673737540430164E-3</v>
      </c>
      <c r="V9" s="22">
        <v>0.63392620717504977</v>
      </c>
    </row>
    <row r="10" spans="1:22" x14ac:dyDescent="0.25">
      <c r="A10" s="3"/>
      <c r="B10" s="3" t="s">
        <v>2</v>
      </c>
      <c r="C10" s="22">
        <v>0.12483744598971497</v>
      </c>
      <c r="D10" s="22">
        <v>1.9777534402590866E-2</v>
      </c>
      <c r="E10" s="22">
        <v>1.5349999999999999</v>
      </c>
      <c r="F10" s="21"/>
      <c r="G10" s="22"/>
      <c r="H10" s="21">
        <v>0.15078539186875198</v>
      </c>
      <c r="I10" s="21">
        <v>6.3942008559664421E-2</v>
      </c>
      <c r="J10" s="22">
        <v>1.385</v>
      </c>
      <c r="K10" s="21"/>
      <c r="L10" s="22"/>
      <c r="M10" s="22">
        <v>0.16698328874933843</v>
      </c>
      <c r="N10" s="22">
        <v>0.1090652386832725</v>
      </c>
      <c r="O10" s="22">
        <v>1.405</v>
      </c>
      <c r="P10" s="21"/>
      <c r="Q10" s="22"/>
      <c r="R10" s="21">
        <v>0.2285837521897921</v>
      </c>
      <c r="S10" s="21">
        <v>0.21394564937312191</v>
      </c>
      <c r="T10" s="22">
        <v>1.4450000000000001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0.12317304666668803</v>
      </c>
      <c r="D11" s="21">
        <v>1.6785287062757417E-2</v>
      </c>
      <c r="E11" s="21">
        <v>1.52</v>
      </c>
      <c r="F11" s="22">
        <v>0.24669178599221994</v>
      </c>
      <c r="G11" s="21">
        <v>0.57166271107755806</v>
      </c>
      <c r="H11" s="22">
        <v>6.7388098569291996E-2</v>
      </c>
      <c r="I11" s="22">
        <v>4.7631124739060032E-2</v>
      </c>
      <c r="J11" s="21">
        <v>1.52</v>
      </c>
      <c r="K11" s="22">
        <v>0.62887987668366108</v>
      </c>
      <c r="L11" s="21">
        <v>0.59526551178716913</v>
      </c>
      <c r="M11" s="21">
        <v>6.9706994752182977E-2</v>
      </c>
      <c r="N11" s="21">
        <v>5.559616009122912E-2</v>
      </c>
      <c r="O11" s="21">
        <v>1.4550000000000001</v>
      </c>
      <c r="P11" s="22">
        <v>0.14477094925637313</v>
      </c>
      <c r="Q11" s="21">
        <v>9.1040072973596425E-2</v>
      </c>
      <c r="R11" s="22">
        <v>8.081021797787899E-2</v>
      </c>
      <c r="S11" s="22">
        <v>5.9968814490004657E-2</v>
      </c>
      <c r="T11" s="21">
        <v>1.5149999999999999</v>
      </c>
      <c r="U11" s="22">
        <v>0.96694520318433896</v>
      </c>
      <c r="V11" s="21">
        <v>0.74784411060453548</v>
      </c>
    </row>
    <row r="12" spans="1:22" x14ac:dyDescent="0.25">
      <c r="A12" s="3"/>
      <c r="B12" s="3" t="s">
        <v>2</v>
      </c>
      <c r="C12" s="21">
        <v>0.12326804570209125</v>
      </c>
      <c r="D12" s="21">
        <v>1.6777315648256318E-2</v>
      </c>
      <c r="E12" s="21">
        <v>1.48</v>
      </c>
      <c r="F12" s="22"/>
      <c r="G12" s="21"/>
      <c r="H12" s="22">
        <v>6.7533015851921396E-2</v>
      </c>
      <c r="I12" s="22">
        <v>4.8008997067383839E-2</v>
      </c>
      <c r="J12" s="21">
        <v>1.48</v>
      </c>
      <c r="K12" s="22"/>
      <c r="L12" s="21"/>
      <c r="M12" s="21">
        <v>6.7293236884221827E-2</v>
      </c>
      <c r="N12" s="21">
        <v>5.4411326152553556E-2</v>
      </c>
      <c r="O12" s="21">
        <v>1.5449999999999999</v>
      </c>
      <c r="P12" s="22"/>
      <c r="Q12" s="21"/>
      <c r="R12" s="22">
        <v>8.0678153568463931E-2</v>
      </c>
      <c r="S12" s="22">
        <v>6.1454280107408388E-2</v>
      </c>
      <c r="T12" s="21">
        <v>1.4850000000000001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2.454610274151019E-2</v>
      </c>
      <c r="D13" s="22">
        <v>2.9146864691894713E-2</v>
      </c>
      <c r="E13" s="22">
        <v>1.4950000000000001</v>
      </c>
      <c r="F13" s="21">
        <v>0.40468179202664845</v>
      </c>
      <c r="G13" s="22">
        <v>0.44017133106345463</v>
      </c>
      <c r="H13" s="21">
        <v>2.3664940038594623E-2</v>
      </c>
      <c r="I13" s="21">
        <v>2.3371243714397773E-2</v>
      </c>
      <c r="J13" s="22">
        <v>1.54</v>
      </c>
      <c r="K13" s="21">
        <v>0.66951607584677553</v>
      </c>
      <c r="L13" s="22">
        <v>0.87026614899464649</v>
      </c>
      <c r="M13" s="22">
        <v>4.8734631944191503E-2</v>
      </c>
      <c r="N13" s="22">
        <v>4.435428521691237E-2</v>
      </c>
      <c r="O13" s="22">
        <v>1.58</v>
      </c>
      <c r="P13" s="21">
        <v>8.948939723914788E-2</v>
      </c>
      <c r="Q13" s="22">
        <v>0.49491811369455707</v>
      </c>
      <c r="R13" s="21">
        <v>7.1173975047453486E-2</v>
      </c>
      <c r="S13" s="21">
        <v>5.5576893405041253E-2</v>
      </c>
      <c r="T13" s="22">
        <v>1.52</v>
      </c>
      <c r="U13" s="21">
        <v>0.97050292641489089</v>
      </c>
      <c r="V13" s="22">
        <v>0.81380108193100897</v>
      </c>
    </row>
    <row r="14" spans="1:22" x14ac:dyDescent="0.25">
      <c r="A14" s="3"/>
      <c r="B14" s="3" t="s">
        <v>2</v>
      </c>
      <c r="C14" s="22">
        <v>2.5520821353056035E-2</v>
      </c>
      <c r="D14" s="22">
        <v>2.9290427499618681E-2</v>
      </c>
      <c r="E14" s="22">
        <v>1.5049999999999999</v>
      </c>
      <c r="F14" s="21"/>
      <c r="G14" s="22"/>
      <c r="H14" s="21">
        <v>2.4398025047618455E-2</v>
      </c>
      <c r="I14" s="21">
        <v>2.375534453706617E-2</v>
      </c>
      <c r="J14" s="22">
        <v>1.46</v>
      </c>
      <c r="K14" s="21"/>
      <c r="L14" s="22"/>
      <c r="M14" s="22">
        <v>5.2830932700711299E-2</v>
      </c>
      <c r="N14" s="22">
        <v>4.6332391231810967E-2</v>
      </c>
      <c r="O14" s="22">
        <v>1.42</v>
      </c>
      <c r="P14" s="21"/>
      <c r="Q14" s="22"/>
      <c r="R14" s="21">
        <v>7.1015804801877747E-2</v>
      </c>
      <c r="S14" s="21">
        <v>5.7419595739069337E-2</v>
      </c>
      <c r="T14" s="22">
        <v>1.48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0.21833969208309995</v>
      </c>
      <c r="D15" s="21">
        <v>5.6696978294953272E-2</v>
      </c>
      <c r="E15" s="21">
        <v>1.5449999999999999</v>
      </c>
      <c r="F15" s="22">
        <v>0.50184835783730386</v>
      </c>
      <c r="G15" s="21">
        <v>0.43610898105200441</v>
      </c>
      <c r="H15" s="22">
        <v>0.13730787308622353</v>
      </c>
      <c r="I15" s="22">
        <v>6.7889390365454036E-2</v>
      </c>
      <c r="J15" s="21">
        <v>1.43</v>
      </c>
      <c r="K15" s="22">
        <v>0.77887571348893292</v>
      </c>
      <c r="L15" s="21">
        <v>4.3026344047724548E-2</v>
      </c>
      <c r="M15" s="21">
        <v>0.14044504405123978</v>
      </c>
      <c r="N15" s="21">
        <v>8.4187580248960392E-2</v>
      </c>
      <c r="O15" s="21">
        <v>1.4850000000000001</v>
      </c>
      <c r="P15" s="22">
        <v>0.8717698069787666</v>
      </c>
      <c r="Q15" s="21">
        <v>0.72194045389795747</v>
      </c>
      <c r="R15" s="22">
        <v>0.13498602670717805</v>
      </c>
      <c r="S15" s="22">
        <v>0.10993167730712453</v>
      </c>
      <c r="T15" s="21">
        <v>1.61</v>
      </c>
      <c r="U15" s="22">
        <v>8.1533605841755175E-2</v>
      </c>
      <c r="V15" s="21">
        <v>1.1330851092559954E-2</v>
      </c>
    </row>
    <row r="16" spans="1:22" x14ac:dyDescent="0.25">
      <c r="A16" s="3"/>
      <c r="B16" s="3" t="s">
        <v>2</v>
      </c>
      <c r="C16" s="21">
        <v>0.21588092486762281</v>
      </c>
      <c r="D16" s="21">
        <v>5.5059729445098203E-2</v>
      </c>
      <c r="E16" s="21">
        <v>1.4550000000000001</v>
      </c>
      <c r="F16" s="22"/>
      <c r="G16" s="21"/>
      <c r="H16" s="22">
        <v>0.13656461301295708</v>
      </c>
      <c r="I16" s="22">
        <v>6.9469092286698161E-2</v>
      </c>
      <c r="J16" s="21">
        <v>1.57</v>
      </c>
      <c r="K16" s="22"/>
      <c r="L16" s="21"/>
      <c r="M16" s="21">
        <v>0.13937210813337453</v>
      </c>
      <c r="N16" s="21">
        <v>7.6548993828117515E-2</v>
      </c>
      <c r="O16" s="21">
        <v>1.5149999999999999</v>
      </c>
      <c r="P16" s="22"/>
      <c r="Q16" s="21"/>
      <c r="R16" s="22">
        <v>0.14874503850957499</v>
      </c>
      <c r="S16" s="22">
        <v>0.10923743200303548</v>
      </c>
      <c r="T16" s="21">
        <v>1.39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0.36336841184175361</v>
      </c>
      <c r="D17" s="22">
        <v>0.10350745191136039</v>
      </c>
      <c r="E17" s="22">
        <v>1.58</v>
      </c>
      <c r="F17" s="21">
        <v>7.3694113571984368E-2</v>
      </c>
      <c r="G17" s="22">
        <v>6.7629184782360061E-2</v>
      </c>
      <c r="H17" s="21">
        <v>0.45794345016887461</v>
      </c>
      <c r="I17" s="21">
        <v>0.21433426455111695</v>
      </c>
      <c r="J17" s="22">
        <v>1.405</v>
      </c>
      <c r="K17" s="21">
        <v>0.12237126662460161</v>
      </c>
      <c r="L17" s="22">
        <v>8.0396832731831347E-2</v>
      </c>
      <c r="M17" s="22">
        <v>0.78598623752969643</v>
      </c>
      <c r="N17" s="22">
        <v>0.18356680739209155</v>
      </c>
      <c r="O17" s="22">
        <v>1.49</v>
      </c>
      <c r="P17" s="21">
        <v>0.42909011475614572</v>
      </c>
      <c r="Q17" s="22">
        <v>0.76614961763250111</v>
      </c>
      <c r="R17" s="21">
        <v>0.94621269736905445</v>
      </c>
      <c r="S17" s="21">
        <v>0.24040824916717143</v>
      </c>
      <c r="T17" s="22">
        <v>1.49</v>
      </c>
      <c r="U17" s="21">
        <v>0.51972791644821548</v>
      </c>
      <c r="V17" s="22">
        <v>0.60003892410439341</v>
      </c>
    </row>
    <row r="18" spans="1:22" x14ac:dyDescent="0.25">
      <c r="A18" s="3"/>
      <c r="B18" s="3" t="s">
        <v>2</v>
      </c>
      <c r="C18" s="22">
        <v>0.36579219603038982</v>
      </c>
      <c r="D18" s="22">
        <v>0.10090581431891221</v>
      </c>
      <c r="E18" s="22">
        <v>1.42</v>
      </c>
      <c r="F18" s="21"/>
      <c r="G18" s="22"/>
      <c r="H18" s="21">
        <v>0.4396423287055149</v>
      </c>
      <c r="I18" s="21">
        <v>0.23150816859958057</v>
      </c>
      <c r="J18" s="22">
        <v>1.595</v>
      </c>
      <c r="K18" s="21"/>
      <c r="L18" s="22"/>
      <c r="M18" s="22">
        <v>0.76727002698686519</v>
      </c>
      <c r="N18" s="22">
        <v>0.20354570691914625</v>
      </c>
      <c r="O18" s="22">
        <v>1.51</v>
      </c>
      <c r="P18" s="21"/>
      <c r="Q18" s="22"/>
      <c r="R18" s="21">
        <v>0.92763436896539497</v>
      </c>
      <c r="S18" s="21">
        <v>0.2779084810048319</v>
      </c>
      <c r="T18" s="22">
        <v>1.51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0.36434129517782543</v>
      </c>
      <c r="D19" s="21">
        <v>9.1443048572641197E-2</v>
      </c>
      <c r="E19" s="21">
        <v>1.425</v>
      </c>
      <c r="F19" s="22">
        <v>0.46785879367211652</v>
      </c>
      <c r="G19" s="21">
        <v>0.12305204238463287</v>
      </c>
      <c r="H19" s="22">
        <v>0.52034484477233645</v>
      </c>
      <c r="I19" s="22">
        <v>0.20466473430042365</v>
      </c>
      <c r="J19" s="21">
        <v>1.5</v>
      </c>
      <c r="K19" s="22">
        <v>0.65693677512652748</v>
      </c>
      <c r="L19" s="21">
        <v>0.81380108193100897</v>
      </c>
      <c r="M19" s="21">
        <v>0.66453851097730177</v>
      </c>
      <c r="N19" s="21">
        <v>0.21775116552681592</v>
      </c>
      <c r="O19" s="21">
        <v>1.51</v>
      </c>
      <c r="P19" s="22">
        <v>0.39442603075124383</v>
      </c>
      <c r="Q19" s="21">
        <v>0.36311954018837089</v>
      </c>
      <c r="R19" s="22">
        <v>0.85177749182224116</v>
      </c>
      <c r="S19" s="22">
        <v>0.24689912954129753</v>
      </c>
      <c r="T19" s="21">
        <v>1.38</v>
      </c>
      <c r="U19" s="22">
        <v>7.7762373035219958E-4</v>
      </c>
      <c r="V19" s="21">
        <v>1.2071604081471507E-3</v>
      </c>
    </row>
    <row r="20" spans="1:22" x14ac:dyDescent="0.25">
      <c r="A20" s="3"/>
      <c r="B20" s="3" t="s">
        <v>2</v>
      </c>
      <c r="C20" s="21">
        <v>0.35830348170386322</v>
      </c>
      <c r="D20" s="21">
        <v>9.01551602175336E-2</v>
      </c>
      <c r="E20" s="21">
        <v>1.575</v>
      </c>
      <c r="F20" s="22"/>
      <c r="G20" s="21"/>
      <c r="H20" s="22">
        <v>0.52713712968750892</v>
      </c>
      <c r="I20" s="22">
        <v>0.20841583234122621</v>
      </c>
      <c r="J20" s="21">
        <v>1.5</v>
      </c>
      <c r="K20" s="22"/>
      <c r="L20" s="21"/>
      <c r="M20" s="21">
        <v>0.68367722001441122</v>
      </c>
      <c r="N20" s="21">
        <v>0.2123968524511772</v>
      </c>
      <c r="O20" s="21">
        <v>1.49</v>
      </c>
      <c r="P20" s="22"/>
      <c r="Q20" s="21"/>
      <c r="R20" s="22">
        <v>0.76885462170966956</v>
      </c>
      <c r="S20" s="22">
        <v>0.23520065667236612</v>
      </c>
      <c r="T20" s="21">
        <v>1.62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0.27237282873753005</v>
      </c>
      <c r="D21" s="22">
        <v>7.2993566616686739E-2</v>
      </c>
      <c r="E21" s="22">
        <v>1.5349999999999999</v>
      </c>
      <c r="F21" s="21">
        <v>0.35870481457691478</v>
      </c>
      <c r="G21" s="22">
        <v>0.31290349694263137</v>
      </c>
      <c r="H21" s="21">
        <v>0.1721725422487945</v>
      </c>
      <c r="I21" s="21">
        <v>7.4772283031517062E-2</v>
      </c>
      <c r="J21" s="22">
        <v>1.4850000000000001</v>
      </c>
      <c r="K21" s="21">
        <v>0.14941680271922064</v>
      </c>
      <c r="L21" s="22">
        <v>0.52808458934918412</v>
      </c>
      <c r="M21" s="22">
        <v>0.18437088479661795</v>
      </c>
      <c r="N21" s="22">
        <v>8.0321599795979137E-2</v>
      </c>
      <c r="O21" s="22">
        <v>1.49</v>
      </c>
      <c r="P21" s="21">
        <v>0.75143013285534643</v>
      </c>
      <c r="Q21" s="22">
        <v>0.84058753917170193</v>
      </c>
      <c r="R21" s="21">
        <v>0.19908964864837458</v>
      </c>
      <c r="S21" s="21">
        <v>9.0735556074891394E-2</v>
      </c>
      <c r="T21" s="22">
        <v>1.45</v>
      </c>
      <c r="U21" s="21">
        <v>0.88727337831892383</v>
      </c>
      <c r="V21" s="22">
        <v>0.41219303374722593</v>
      </c>
    </row>
    <row r="22" spans="1:22" x14ac:dyDescent="0.25">
      <c r="A22" s="3"/>
      <c r="B22" s="3" t="s">
        <v>2</v>
      </c>
      <c r="C22" s="22">
        <v>0.27292369247784259</v>
      </c>
      <c r="D22" s="22">
        <v>7.3583289300675023E-2</v>
      </c>
      <c r="E22" s="22">
        <v>1.4650000000000001</v>
      </c>
      <c r="F22" s="21"/>
      <c r="G22" s="22"/>
      <c r="H22" s="21">
        <v>0.16975296896488179</v>
      </c>
      <c r="I22" s="21">
        <v>7.4211684838281791E-2</v>
      </c>
      <c r="J22" s="22">
        <v>1.5149999999999999</v>
      </c>
      <c r="K22" s="21"/>
      <c r="L22" s="22"/>
      <c r="M22" s="22">
        <v>0.18581685351353733</v>
      </c>
      <c r="N22" s="22">
        <v>8.1995661172995227E-2</v>
      </c>
      <c r="O22" s="22">
        <v>1.51</v>
      </c>
      <c r="P22" s="21"/>
      <c r="Q22" s="22"/>
      <c r="R22" s="21">
        <v>0.19815107304854293</v>
      </c>
      <c r="S22" s="21">
        <v>9.1429465991553341E-2</v>
      </c>
      <c r="T22" s="22">
        <v>1.55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0.12577708738091778</v>
      </c>
      <c r="D23" s="21">
        <v>2.0757248181216933E-2</v>
      </c>
      <c r="E23" s="21">
        <v>1.52</v>
      </c>
      <c r="F23" s="22">
        <v>0.33503451561985775</v>
      </c>
      <c r="G23" s="21">
        <v>0.48197010760519099</v>
      </c>
      <c r="H23" s="22">
        <v>0.13192840039878392</v>
      </c>
      <c r="I23" s="22">
        <v>2.607520968275464E-2</v>
      </c>
      <c r="J23" s="21">
        <v>1.51</v>
      </c>
      <c r="K23" s="22">
        <v>0.74953687384994727</v>
      </c>
      <c r="L23" s="21">
        <v>0.4220621027365421</v>
      </c>
      <c r="M23" s="21">
        <v>0.16511997324393035</v>
      </c>
      <c r="N23" s="21">
        <v>6.496604887862524E-2</v>
      </c>
      <c r="O23" s="21">
        <v>1.56</v>
      </c>
      <c r="P23" s="22">
        <v>0.17177773213832903</v>
      </c>
      <c r="Q23" s="21">
        <v>0.19429845899680276</v>
      </c>
      <c r="R23" s="22">
        <v>0.20255091077474494</v>
      </c>
      <c r="S23" s="22">
        <v>8.1459191228341374E-2</v>
      </c>
      <c r="T23" s="21">
        <v>1.52</v>
      </c>
      <c r="U23" s="22">
        <v>0.83515349666369354</v>
      </c>
      <c r="V23" s="21">
        <v>0.89468728716704149</v>
      </c>
    </row>
    <row r="24" spans="1:22" x14ac:dyDescent="0.25">
      <c r="A24" s="3"/>
      <c r="B24" s="3" t="s">
        <v>2</v>
      </c>
      <c r="C24" s="21">
        <v>0.12776948366800642</v>
      </c>
      <c r="D24" s="21">
        <v>2.1739300234721568E-2</v>
      </c>
      <c r="E24" s="21">
        <v>1.48</v>
      </c>
      <c r="F24" s="22"/>
      <c r="G24" s="21"/>
      <c r="H24" s="22">
        <v>0.13273263933184079</v>
      </c>
      <c r="I24" s="22">
        <v>1.8093902537414538E-2</v>
      </c>
      <c r="J24" s="21">
        <v>1.49</v>
      </c>
      <c r="K24" s="22"/>
      <c r="L24" s="21"/>
      <c r="M24" s="21">
        <v>0.17266945997613395</v>
      </c>
      <c r="N24" s="21">
        <v>7.2378967050090434E-2</v>
      </c>
      <c r="O24" s="21">
        <v>1.44</v>
      </c>
      <c r="P24" s="22"/>
      <c r="Q24" s="21"/>
      <c r="R24" s="22">
        <v>0.20054209863756484</v>
      </c>
      <c r="S24" s="22">
        <v>7.5801570108116681E-2</v>
      </c>
      <c r="T24" s="21">
        <v>1.48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0.10476954534469188</v>
      </c>
      <c r="D25" s="22">
        <v>1.8924588906003421E-2</v>
      </c>
      <c r="E25" s="22">
        <v>1.5</v>
      </c>
      <c r="F25" s="21">
        <v>0.49543167539426008</v>
      </c>
      <c r="G25" s="22">
        <v>0.53259083557228071</v>
      </c>
      <c r="H25" s="21">
        <v>0.10873286590708446</v>
      </c>
      <c r="I25" s="21">
        <v>2.446514729289995E-2</v>
      </c>
      <c r="J25" s="22">
        <v>1.575</v>
      </c>
      <c r="K25" s="21">
        <v>0.84906900130554475</v>
      </c>
      <c r="L25" s="22">
        <v>0.33482030526977102</v>
      </c>
      <c r="M25" s="22">
        <v>0.13096358571848224</v>
      </c>
      <c r="N25" s="22">
        <v>5.4936410828727987E-2</v>
      </c>
      <c r="O25" s="22">
        <v>1.53</v>
      </c>
      <c r="P25" s="21">
        <v>0.45375895541857092</v>
      </c>
      <c r="Q25" s="22">
        <v>0.32289883126317398</v>
      </c>
      <c r="R25" s="21">
        <v>0.16487027499743059</v>
      </c>
      <c r="S25" s="21">
        <v>6.1435787940645338E-2</v>
      </c>
      <c r="T25" s="22">
        <v>1.4850000000000001</v>
      </c>
      <c r="U25" s="21">
        <v>0.95286544557826613</v>
      </c>
      <c r="V25" s="22">
        <v>0.6988957296826559</v>
      </c>
    </row>
    <row r="26" spans="1:22" x14ac:dyDescent="0.25">
      <c r="A26" s="3"/>
      <c r="B26" s="3" t="s">
        <v>2</v>
      </c>
      <c r="C26" s="22">
        <v>0.10479740352903777</v>
      </c>
      <c r="D26" s="22">
        <v>1.8925130227810685E-2</v>
      </c>
      <c r="E26" s="22">
        <v>1.5</v>
      </c>
      <c r="F26" s="21"/>
      <c r="G26" s="22"/>
      <c r="H26" s="21">
        <v>0.10853128413019189</v>
      </c>
      <c r="I26" s="21">
        <v>1.9769076325694749E-2</v>
      </c>
      <c r="J26" s="22">
        <v>1.425</v>
      </c>
      <c r="K26" s="21"/>
      <c r="L26" s="22"/>
      <c r="M26" s="22">
        <v>0.13495430003191744</v>
      </c>
      <c r="N26" s="22">
        <v>5.8984923209566359E-2</v>
      </c>
      <c r="O26" s="22">
        <v>1.47</v>
      </c>
      <c r="P26" s="21"/>
      <c r="Q26" s="22"/>
      <c r="R26" s="21">
        <v>0.16437697562336637</v>
      </c>
      <c r="S26" s="21">
        <v>6.8793006426714598E-2</v>
      </c>
      <c r="T26" s="22">
        <v>1.5149999999999999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0.11027216529249773</v>
      </c>
      <c r="D27" s="21">
        <v>2.1779964009376415E-2</v>
      </c>
      <c r="E27" s="21">
        <v>1.43</v>
      </c>
      <c r="F27" s="22">
        <v>0.60558774159526541</v>
      </c>
      <c r="G27" s="21">
        <v>0.45455929379668741</v>
      </c>
      <c r="H27" s="22">
        <v>0.11751032715421882</v>
      </c>
      <c r="I27" s="22">
        <v>2.3381768830865006E-2</v>
      </c>
      <c r="J27" s="21">
        <v>1.5049999999999999</v>
      </c>
      <c r="K27" s="22">
        <v>0.67676941783817501</v>
      </c>
      <c r="L27" s="21">
        <v>0.58105034803348798</v>
      </c>
      <c r="M27" s="21">
        <v>0.17113594385122893</v>
      </c>
      <c r="N27" s="21">
        <v>7.5120215080700714E-2</v>
      </c>
      <c r="O27" s="21">
        <v>1.58</v>
      </c>
      <c r="P27" s="22">
        <v>0.14061464889424047</v>
      </c>
      <c r="Q27" s="21">
        <v>0.15509961682087028</v>
      </c>
      <c r="R27" s="22">
        <v>0.20838133377606036</v>
      </c>
      <c r="S27" s="22">
        <v>7.2087684298507385E-2</v>
      </c>
      <c r="T27" s="21">
        <v>1.5</v>
      </c>
      <c r="U27" s="22">
        <v>0.93213859198526994</v>
      </c>
      <c r="V27" s="21">
        <v>0.84058753917170193</v>
      </c>
    </row>
    <row r="28" spans="1:22" x14ac:dyDescent="0.25">
      <c r="A28" s="3"/>
      <c r="B28" s="3" t="s">
        <v>2</v>
      </c>
      <c r="C28" s="21">
        <v>0.10965450560848598</v>
      </c>
      <c r="D28" s="21">
        <v>1.977488202650907E-2</v>
      </c>
      <c r="E28" s="21">
        <v>1.57</v>
      </c>
      <c r="F28" s="22"/>
      <c r="G28" s="21"/>
      <c r="H28" s="22">
        <v>0.11806486996271572</v>
      </c>
      <c r="I28" s="22">
        <v>2.4136267139900868E-2</v>
      </c>
      <c r="J28" s="21">
        <v>1.4950000000000001</v>
      </c>
      <c r="K28" s="22"/>
      <c r="L28" s="21"/>
      <c r="M28" s="21">
        <v>0.18458051062292377</v>
      </c>
      <c r="N28" s="21">
        <v>7.9605223596746863E-2</v>
      </c>
      <c r="O28" s="21">
        <v>1.42</v>
      </c>
      <c r="P28" s="22"/>
      <c r="Q28" s="21"/>
      <c r="R28" s="22">
        <v>0.20899738378118585</v>
      </c>
      <c r="S28" s="22">
        <v>8.2282814958433453E-2</v>
      </c>
      <c r="T28" s="21">
        <v>1.5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0.12342687192299671</v>
      </c>
      <c r="D29" s="22">
        <v>1.6821999182404266E-2</v>
      </c>
      <c r="E29" s="22">
        <v>1.49</v>
      </c>
      <c r="F29" s="21">
        <v>0.55820482473542277</v>
      </c>
      <c r="G29" s="22">
        <v>0.42604819317593379</v>
      </c>
      <c r="H29" s="21">
        <v>0.13137534677435622</v>
      </c>
      <c r="I29" s="21">
        <v>2.8733398280181923E-2</v>
      </c>
      <c r="J29" s="22">
        <v>1.54</v>
      </c>
      <c r="K29" s="21">
        <v>0.33971723630691009</v>
      </c>
      <c r="L29" s="22">
        <v>0.30311409392753075</v>
      </c>
      <c r="M29" s="22">
        <v>0.16989047575569594</v>
      </c>
      <c r="N29" s="22">
        <v>6.0686323144721527E-2</v>
      </c>
      <c r="O29" s="22">
        <v>1.46</v>
      </c>
      <c r="P29" s="21">
        <v>0.73579403362646112</v>
      </c>
      <c r="Q29" s="22">
        <v>0.97668453556314205</v>
      </c>
      <c r="R29" s="21">
        <v>0.19047016710914377</v>
      </c>
      <c r="S29" s="21">
        <v>7.3093217254491957E-2</v>
      </c>
      <c r="T29" s="22">
        <v>1.62</v>
      </c>
      <c r="U29" s="21">
        <v>0.35571535205222293</v>
      </c>
      <c r="V29" s="22">
        <v>4.0606815458079218E-2</v>
      </c>
    </row>
    <row r="30" spans="1:22" x14ac:dyDescent="0.25">
      <c r="A30" s="3"/>
      <c r="B30" s="3" t="s">
        <v>2</v>
      </c>
      <c r="C30" s="22">
        <v>0.12319059187835961</v>
      </c>
      <c r="D30" s="22">
        <v>1.6605820469754087E-2</v>
      </c>
      <c r="E30" s="22">
        <v>1.51</v>
      </c>
      <c r="F30" s="21"/>
      <c r="G30" s="22"/>
      <c r="H30" s="21">
        <v>0.12874587232186221</v>
      </c>
      <c r="I30" s="21">
        <v>1.4301615340758498E-2</v>
      </c>
      <c r="J30" s="22">
        <v>1.46</v>
      </c>
      <c r="K30" s="21"/>
      <c r="L30" s="22"/>
      <c r="M30" s="22">
        <v>0.1720572462684678</v>
      </c>
      <c r="N30" s="22">
        <v>6.1929436848565209E-2</v>
      </c>
      <c r="O30" s="22">
        <v>1.54</v>
      </c>
      <c r="P30" s="21"/>
      <c r="Q30" s="22"/>
      <c r="R30" s="21">
        <v>0.19810002977750152</v>
      </c>
      <c r="S30" s="21">
        <v>7.1761896599525407E-2</v>
      </c>
      <c r="T30" s="22">
        <v>1.38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0.12351195302225895</v>
      </c>
      <c r="D31" s="21">
        <v>1.6481276479978317E-2</v>
      </c>
      <c r="E31" s="21">
        <v>1.5549999999999999</v>
      </c>
      <c r="F31" s="22">
        <v>0.22470646214327833</v>
      </c>
      <c r="G31" s="21">
        <v>0.15212599330172194</v>
      </c>
      <c r="H31" s="22">
        <v>0.12871825152002875</v>
      </c>
      <c r="I31" s="22">
        <v>1.5868103069134252E-2</v>
      </c>
      <c r="J31" s="21">
        <v>1.68</v>
      </c>
      <c r="K31" s="22">
        <v>0.29804271535447646</v>
      </c>
      <c r="L31" s="21">
        <v>3.7031093143242354E-4</v>
      </c>
      <c r="M31" s="21">
        <v>0.16428875141445534</v>
      </c>
      <c r="N31" s="21">
        <v>4.4642463711399412E-2</v>
      </c>
      <c r="O31" s="21">
        <v>1.54</v>
      </c>
      <c r="P31" s="22">
        <v>0.61111555477795454</v>
      </c>
      <c r="Q31" s="21">
        <v>0.98216947335223692</v>
      </c>
      <c r="R31" s="22">
        <v>0.18602688444113513</v>
      </c>
      <c r="S31" s="22">
        <v>5.1819744915712736E-2</v>
      </c>
      <c r="T31" s="21">
        <v>1.53</v>
      </c>
      <c r="U31" s="22">
        <v>0.40106424939782576</v>
      </c>
      <c r="V31" s="21">
        <v>0.35770242655370271</v>
      </c>
    </row>
    <row r="32" spans="1:22" x14ac:dyDescent="0.25">
      <c r="A32" s="3"/>
      <c r="B32" s="3" t="s">
        <v>2</v>
      </c>
      <c r="C32" s="21">
        <v>0.12399511890578525</v>
      </c>
      <c r="D32" s="21">
        <v>1.6576084198893924E-2</v>
      </c>
      <c r="E32" s="21">
        <v>1.4450000000000001</v>
      </c>
      <c r="F32" s="22"/>
      <c r="G32" s="21"/>
      <c r="H32" s="22">
        <v>0.12933325745772037</v>
      </c>
      <c r="I32" s="22">
        <v>1.4560070746528216E-2</v>
      </c>
      <c r="J32" s="21">
        <v>1.32</v>
      </c>
      <c r="K32" s="22"/>
      <c r="L32" s="21"/>
      <c r="M32" s="21">
        <v>0.16174408715085759</v>
      </c>
      <c r="N32" s="21">
        <v>4.5285229505078559E-2</v>
      </c>
      <c r="O32" s="21">
        <v>1.46</v>
      </c>
      <c r="P32" s="22"/>
      <c r="Q32" s="21"/>
      <c r="R32" s="22">
        <v>0.19184289929267276</v>
      </c>
      <c r="S32" s="22">
        <v>5.4382166611765641E-2</v>
      </c>
      <c r="T32" s="21">
        <v>1.47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0.12128072022558584</v>
      </c>
      <c r="D33" s="22">
        <v>1.8216292414833132E-2</v>
      </c>
      <c r="E33" s="22">
        <v>1.59</v>
      </c>
      <c r="F33" s="21">
        <v>0.16468009360331673</v>
      </c>
      <c r="G33" s="22">
        <v>0.1238896752085648</v>
      </c>
      <c r="H33" s="21">
        <v>0.12490176500077378</v>
      </c>
      <c r="I33" s="21">
        <v>1.4661248583727799E-2</v>
      </c>
      <c r="J33" s="22">
        <v>1.4450000000000001</v>
      </c>
      <c r="K33" s="21">
        <v>0.38130549523041907</v>
      </c>
      <c r="L33" s="22">
        <v>0.39860863913172351</v>
      </c>
      <c r="M33" s="22">
        <v>0.1648606216516266</v>
      </c>
      <c r="N33" s="22">
        <v>5.901850277570915E-2</v>
      </c>
      <c r="O33" s="22">
        <v>1.4950000000000001</v>
      </c>
      <c r="P33" s="21">
        <v>0.97689848372310251</v>
      </c>
      <c r="Q33" s="22">
        <v>0.70910509422205159</v>
      </c>
      <c r="R33" s="21">
        <v>0.20982063536946283</v>
      </c>
      <c r="S33" s="21">
        <v>9.7722457441568253E-2</v>
      </c>
      <c r="T33" s="22">
        <v>1.4550000000000001</v>
      </c>
      <c r="U33" s="21">
        <v>0.5107898483394907</v>
      </c>
      <c r="V33" s="22">
        <v>0.30311409392753075</v>
      </c>
    </row>
    <row r="34" spans="1:22" x14ac:dyDescent="0.25">
      <c r="A34" s="3"/>
      <c r="B34" s="3" t="s">
        <v>2</v>
      </c>
      <c r="C34" s="22">
        <v>0.12403299362307055</v>
      </c>
      <c r="D34" s="22">
        <v>2.5408310737868263E-2</v>
      </c>
      <c r="E34" s="22">
        <v>1.41</v>
      </c>
      <c r="F34" s="21"/>
      <c r="G34" s="22"/>
      <c r="H34" s="21">
        <v>0.12729657897038363</v>
      </c>
      <c r="I34" s="21">
        <v>2.912424256793281E-2</v>
      </c>
      <c r="J34" s="22">
        <v>1.5549999999999999</v>
      </c>
      <c r="K34" s="21"/>
      <c r="L34" s="22"/>
      <c r="M34" s="22">
        <v>0.16466865342548498</v>
      </c>
      <c r="N34" s="22">
        <v>5.6330298503293061E-2</v>
      </c>
      <c r="O34" s="22">
        <v>1.5049999999999999</v>
      </c>
      <c r="P34" s="21"/>
      <c r="Q34" s="22"/>
      <c r="R34" s="21">
        <v>0.20263969828269243</v>
      </c>
      <c r="S34" s="21">
        <v>9.7234435013971707E-2</v>
      </c>
      <c r="T34" s="22">
        <v>1.5449999999999999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0.42100345276381057</v>
      </c>
      <c r="D35" s="21">
        <v>0.10253838609226806</v>
      </c>
      <c r="E35" s="21">
        <v>1.5649999999999999</v>
      </c>
      <c r="F35" s="22">
        <v>0.22477317953045009</v>
      </c>
      <c r="G35" s="21">
        <v>0.30635435355676371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</row>
    <row r="36" spans="1:22" x14ac:dyDescent="0.25">
      <c r="A36" s="3"/>
      <c r="B36" s="3" t="s">
        <v>2</v>
      </c>
      <c r="C36" s="21">
        <v>0.42131395400976002</v>
      </c>
      <c r="D36" s="21">
        <v>0.10255562463197246</v>
      </c>
      <c r="E36" s="21">
        <v>1.4350000000000001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0.17535098162433291</v>
      </c>
      <c r="D37" s="22">
        <v>4.6033734947053595E-2</v>
      </c>
      <c r="E37" s="22">
        <v>1.51</v>
      </c>
      <c r="F37" s="21">
        <v>0.21286883085670888</v>
      </c>
      <c r="G37" s="22">
        <v>0.83253069981514261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0.17443573530829787</v>
      </c>
      <c r="D38" s="22">
        <v>4.5022674787601143E-2</v>
      </c>
      <c r="E38" s="22">
        <v>1.49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0.30497552178821596</v>
      </c>
      <c r="D39" s="21">
        <v>0.10432050060435745</v>
      </c>
      <c r="E39" s="21">
        <v>1.53</v>
      </c>
      <c r="F39" s="22">
        <v>0.80342708031039889</v>
      </c>
      <c r="G39" s="21">
        <v>0.98491227458612174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0.30411270506895954</v>
      </c>
      <c r="D40" s="21">
        <v>9.9885454898485104E-2</v>
      </c>
      <c r="E40" s="21">
        <v>1.47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0.42177887153153631</v>
      </c>
      <c r="D41" s="22">
        <v>0.10228844874246446</v>
      </c>
      <c r="E41" s="22">
        <v>1.5549999999999999</v>
      </c>
      <c r="F41" s="21">
        <v>0.52722688399725526</v>
      </c>
      <c r="G41" s="22">
        <v>0.4755658548014236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0.42250341149235077</v>
      </c>
      <c r="D42" s="22">
        <v>0.10158421316428681</v>
      </c>
      <c r="E42" s="22">
        <v>1.4450000000000001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0.70716461034090006</v>
      </c>
      <c r="D43" s="21">
        <v>0.13109507193244829</v>
      </c>
      <c r="E43" s="21">
        <v>1.425</v>
      </c>
      <c r="F43" s="22">
        <v>0.30164189144344328</v>
      </c>
      <c r="G43" s="21">
        <v>3.2885324259221943E-2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0.70115207702324678</v>
      </c>
      <c r="D44" s="21">
        <v>0.13328640187526336</v>
      </c>
      <c r="E44" s="21">
        <v>1.575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0.21377376375973822</v>
      </c>
      <c r="D45" s="22">
        <v>5.3230367043315512E-2</v>
      </c>
      <c r="E45" s="22">
        <v>1.51</v>
      </c>
      <c r="F45" s="21">
        <v>0.30291764910224411</v>
      </c>
      <c r="G45" s="22">
        <v>0.79783099931211132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0.21396374192434919</v>
      </c>
      <c r="D46" s="22">
        <v>5.3278085619855343E-2</v>
      </c>
      <c r="E46" s="22">
        <v>1.49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  <row r="181" spans="25:28" x14ac:dyDescent="0.25">
      <c r="Y181">
        <v>44</v>
      </c>
      <c r="Z181" s="22"/>
      <c r="AA181" s="21"/>
      <c r="AB181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zoomScaleNormal="100" workbookViewId="0">
      <selection activeCell="AA20" sqref="AA20"/>
    </sheetView>
  </sheetViews>
  <sheetFormatPr defaultRowHeight="15" x14ac:dyDescent="0.25"/>
  <sheetData>
    <row r="1" spans="1:22" x14ac:dyDescent="0.25">
      <c r="A1" s="6" t="s">
        <v>29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0.6217326121657889</v>
      </c>
      <c r="D3" s="21">
        <v>0.17040110588727977</v>
      </c>
      <c r="E3" s="21">
        <v>1.45</v>
      </c>
      <c r="F3" s="22">
        <v>0.780018932655141</v>
      </c>
      <c r="G3" s="21">
        <v>0.31787541922460577</v>
      </c>
      <c r="H3" s="22">
        <v>0.35325035216976269</v>
      </c>
      <c r="I3" s="22">
        <v>0.24837379740032825</v>
      </c>
      <c r="J3" s="21">
        <v>1.62</v>
      </c>
      <c r="K3" s="22">
        <v>5.0025605552245882E-3</v>
      </c>
      <c r="L3" s="21">
        <v>8.4720173325102935E-4</v>
      </c>
      <c r="M3" s="21">
        <v>0.33473552666307305</v>
      </c>
      <c r="N3" s="21">
        <v>0.22752983731379436</v>
      </c>
      <c r="O3" s="21">
        <v>1.64</v>
      </c>
      <c r="P3" s="22">
        <v>3.7139198171277769E-3</v>
      </c>
      <c r="Q3" s="21">
        <v>2.2509682705646838E-3</v>
      </c>
      <c r="R3" s="22">
        <v>0.28856015749111014</v>
      </c>
      <c r="S3" s="22">
        <v>0.21452293698690328</v>
      </c>
      <c r="T3" s="21">
        <v>1.61</v>
      </c>
      <c r="U3" s="22">
        <v>5.9714845996303905E-3</v>
      </c>
      <c r="V3" s="21">
        <v>1.8595939397739625E-2</v>
      </c>
    </row>
    <row r="4" spans="1:22" x14ac:dyDescent="0.25">
      <c r="A4" s="4"/>
      <c r="B4" s="4" t="s">
        <v>2</v>
      </c>
      <c r="C4" s="21">
        <v>0.62735760069073943</v>
      </c>
      <c r="D4" s="21">
        <v>0.15830675232254332</v>
      </c>
      <c r="E4" s="21">
        <v>1.55</v>
      </c>
      <c r="F4" s="22"/>
      <c r="G4" s="21"/>
      <c r="H4" s="22">
        <v>0.29496189382910415</v>
      </c>
      <c r="I4" s="22">
        <v>0.25822041883817826</v>
      </c>
      <c r="J4" s="21">
        <v>1.38</v>
      </c>
      <c r="K4" s="22"/>
      <c r="L4" s="21"/>
      <c r="M4" s="21">
        <v>0.26897818368541498</v>
      </c>
      <c r="N4" s="21">
        <v>0.2308511482183738</v>
      </c>
      <c r="O4" s="21">
        <v>1.36</v>
      </c>
      <c r="P4" s="22"/>
      <c r="Q4" s="21"/>
      <c r="R4" s="22">
        <v>0.22110891570674021</v>
      </c>
      <c r="S4" s="22">
        <v>0.21929132379540767</v>
      </c>
      <c r="T4" s="21">
        <v>1.39</v>
      </c>
      <c r="U4" s="22"/>
      <c r="V4" s="21"/>
    </row>
    <row r="5" spans="1:22" x14ac:dyDescent="0.25">
      <c r="A5" s="1" t="s">
        <v>1</v>
      </c>
      <c r="B5" s="1" t="s">
        <v>3</v>
      </c>
      <c r="C5" s="22">
        <v>4.4157270584864523E-6</v>
      </c>
      <c r="D5" s="22">
        <v>2.3986024981024631E-5</v>
      </c>
      <c r="E5" s="22">
        <v>1.4850000000000001</v>
      </c>
      <c r="F5" s="21">
        <v>0.71447425348278071</v>
      </c>
      <c r="G5" s="22">
        <v>0.84058753917170193</v>
      </c>
      <c r="H5" s="21">
        <v>1.7671759400192922E-4</v>
      </c>
      <c r="I5" s="21">
        <v>4.730368291045891E-4</v>
      </c>
      <c r="J5" s="22">
        <v>1.48</v>
      </c>
      <c r="K5" s="21">
        <v>0.22259073931549483</v>
      </c>
      <c r="L5" s="22">
        <v>0.16743661890136727</v>
      </c>
      <c r="M5" s="22">
        <v>8.2952749432598904E-4</v>
      </c>
      <c r="N5" s="22">
        <v>1.4973307056471319E-3</v>
      </c>
      <c r="O5" s="22">
        <v>1.4550000000000001</v>
      </c>
      <c r="P5" s="21">
        <v>0.14516566728886129</v>
      </c>
      <c r="Q5" s="22">
        <v>9.0384113164622165E-2</v>
      </c>
      <c r="R5" s="21">
        <v>1.8709741137033795E-3</v>
      </c>
      <c r="S5" s="21">
        <v>2.6994938551047074E-3</v>
      </c>
      <c r="T5" s="22">
        <v>1.355</v>
      </c>
      <c r="U5" s="21">
        <v>2.7708255456325062E-2</v>
      </c>
      <c r="V5" s="22">
        <v>6.1696563176424002E-3</v>
      </c>
    </row>
    <row r="6" spans="1:22" x14ac:dyDescent="0.25">
      <c r="A6" s="3"/>
      <c r="B6" s="3" t="s">
        <v>2</v>
      </c>
      <c r="C6" s="22">
        <v>5.6004005955570422E-6</v>
      </c>
      <c r="D6" s="22">
        <v>3.917294372537619E-5</v>
      </c>
      <c r="E6" s="22">
        <v>1.5149999999999999</v>
      </c>
      <c r="F6" s="21"/>
      <c r="G6" s="22"/>
      <c r="H6" s="21">
        <v>2.1464740636812431E-4</v>
      </c>
      <c r="I6" s="21">
        <v>4.845202158207069E-4</v>
      </c>
      <c r="J6" s="22">
        <v>1.52</v>
      </c>
      <c r="K6" s="21"/>
      <c r="L6" s="22"/>
      <c r="M6" s="22">
        <v>1.102684449789534E-3</v>
      </c>
      <c r="N6" s="22">
        <v>1.9098217410709324E-3</v>
      </c>
      <c r="O6" s="22">
        <v>1.5449999999999999</v>
      </c>
      <c r="P6" s="21"/>
      <c r="Q6" s="22"/>
      <c r="R6" s="21">
        <v>2.5590225430679081E-3</v>
      </c>
      <c r="S6" s="21">
        <v>3.0964857910465728E-3</v>
      </c>
      <c r="T6" s="22">
        <v>1.645</v>
      </c>
      <c r="U6" s="21"/>
      <c r="V6" s="22"/>
    </row>
    <row r="7" spans="1:22" x14ac:dyDescent="0.25">
      <c r="A7" s="1" t="s">
        <v>7</v>
      </c>
      <c r="B7" s="1" t="s">
        <v>3</v>
      </c>
      <c r="C7" s="21">
        <v>1.7044921790925482E-3</v>
      </c>
      <c r="D7" s="21">
        <v>1.7415632420157599E-3</v>
      </c>
      <c r="E7" s="21">
        <v>1.46</v>
      </c>
      <c r="F7" s="22">
        <v>0.31934462641989408</v>
      </c>
      <c r="G7" s="21">
        <v>0.50146115061193741</v>
      </c>
      <c r="H7" s="22">
        <v>4.0924736750940832E-3</v>
      </c>
      <c r="I7" s="22">
        <v>3.805183024473168E-3</v>
      </c>
      <c r="J7" s="21">
        <v>1.48</v>
      </c>
      <c r="K7" s="22">
        <v>0.13921612728292723</v>
      </c>
      <c r="L7" s="21">
        <v>0.48411523510786159</v>
      </c>
      <c r="M7" s="21">
        <v>1.7423424413061783</v>
      </c>
      <c r="N7" s="21">
        <v>2.6274187896382504</v>
      </c>
      <c r="O7" s="21">
        <v>1.61</v>
      </c>
      <c r="P7" s="22">
        <v>7.3348537603933422E-2</v>
      </c>
      <c r="Q7" s="21">
        <v>1.402263227493477E-2</v>
      </c>
      <c r="R7" s="22">
        <v>6.848465787804237</v>
      </c>
      <c r="S7" s="22">
        <v>7.3160723342315066</v>
      </c>
      <c r="T7" s="21">
        <v>1.63</v>
      </c>
      <c r="U7" s="22">
        <v>8.3055560957116845E-2</v>
      </c>
      <c r="V7" s="21">
        <v>3.3168126178652932E-2</v>
      </c>
    </row>
    <row r="8" spans="1:22" x14ac:dyDescent="0.25">
      <c r="A8" s="3"/>
      <c r="B8" s="3" t="s">
        <v>2</v>
      </c>
      <c r="C8" s="21">
        <v>1.2830711524769072E-2</v>
      </c>
      <c r="D8" s="21">
        <v>0.11054995689480203</v>
      </c>
      <c r="E8" s="21">
        <v>1.54</v>
      </c>
      <c r="F8" s="22"/>
      <c r="G8" s="21"/>
      <c r="H8" s="22">
        <v>1.679385709988717E-2</v>
      </c>
      <c r="I8" s="22">
        <v>8.4418626450850548E-2</v>
      </c>
      <c r="J8" s="21">
        <v>1.52</v>
      </c>
      <c r="K8" s="22"/>
      <c r="L8" s="21"/>
      <c r="M8" s="21">
        <v>1.2637770043931209</v>
      </c>
      <c r="N8" s="21">
        <v>2.55800032134696</v>
      </c>
      <c r="O8" s="21">
        <v>1.39</v>
      </c>
      <c r="P8" s="22"/>
      <c r="Q8" s="21"/>
      <c r="R8" s="22">
        <v>5.7198057403126903</v>
      </c>
      <c r="S8" s="22">
        <v>6.0819299865566698</v>
      </c>
      <c r="T8" s="21">
        <v>1.37</v>
      </c>
      <c r="U8" s="22"/>
      <c r="V8" s="21"/>
    </row>
    <row r="9" spans="1:22" x14ac:dyDescent="0.25">
      <c r="A9" s="1" t="s">
        <v>8</v>
      </c>
      <c r="B9" s="1" t="s">
        <v>3</v>
      </c>
      <c r="C9" s="22">
        <v>9.3370841160528975E-6</v>
      </c>
      <c r="D9" s="22">
        <v>3.041992052849804E-5</v>
      </c>
      <c r="E9" s="22">
        <v>1.51</v>
      </c>
      <c r="F9" s="21">
        <v>0.9511846193193223</v>
      </c>
      <c r="G9" s="22">
        <v>0.41415582582269961</v>
      </c>
      <c r="H9" s="21">
        <v>2.8546090975497363E-5</v>
      </c>
      <c r="I9" s="21">
        <v>1.149484037604866E-4</v>
      </c>
      <c r="J9" s="22">
        <v>1.4750000000000001</v>
      </c>
      <c r="K9" s="21">
        <v>0.31585306397517576</v>
      </c>
      <c r="L9" s="22">
        <v>0.33654623788865257</v>
      </c>
      <c r="M9" s="22">
        <v>2.9956138094713794E-5</v>
      </c>
      <c r="N9" s="22">
        <v>9.7774755158444893E-5</v>
      </c>
      <c r="O9" s="22">
        <v>1.4450000000000001</v>
      </c>
      <c r="P9" s="21">
        <v>2.3323000413328403E-2</v>
      </c>
      <c r="Q9" s="22">
        <v>0.13790520286374211</v>
      </c>
      <c r="R9" s="21">
        <v>6.0171444040034645E-4</v>
      </c>
      <c r="S9" s="21">
        <v>1.7674174030595249E-3</v>
      </c>
      <c r="T9" s="22">
        <v>1.5</v>
      </c>
      <c r="U9" s="21">
        <v>4.1052727727810719E-2</v>
      </c>
      <c r="V9" s="22">
        <v>0.9794268828765077</v>
      </c>
    </row>
    <row r="10" spans="1:22" x14ac:dyDescent="0.25">
      <c r="A10" s="3"/>
      <c r="B10" s="3" t="s">
        <v>2</v>
      </c>
      <c r="C10" s="22">
        <v>9.6140968830522567E-6</v>
      </c>
      <c r="D10" s="22">
        <v>3.7882531581398462E-5</v>
      </c>
      <c r="E10" s="22">
        <v>1.49</v>
      </c>
      <c r="F10" s="21"/>
      <c r="G10" s="22"/>
      <c r="H10" s="21">
        <v>4.8492969510573503E-5</v>
      </c>
      <c r="I10" s="21">
        <v>1.7975546747644135E-4</v>
      </c>
      <c r="J10" s="22">
        <v>1.5249999999999999</v>
      </c>
      <c r="K10" s="21"/>
      <c r="L10" s="22"/>
      <c r="M10" s="22">
        <v>8.0972130162093286E-5</v>
      </c>
      <c r="N10" s="22">
        <v>2.3738820476745337E-4</v>
      </c>
      <c r="O10" s="22">
        <v>1.5549999999999999</v>
      </c>
      <c r="P10" s="21"/>
      <c r="Q10" s="22"/>
      <c r="R10" s="21">
        <v>2.7710395441385221E-4</v>
      </c>
      <c r="S10" s="21">
        <v>9.5550068463885285E-4</v>
      </c>
      <c r="T10" s="22">
        <v>1.5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0.58417334874487958</v>
      </c>
      <c r="D11" s="21">
        <v>0.19110382087599931</v>
      </c>
      <c r="E11" s="21">
        <v>1.47</v>
      </c>
      <c r="F11" s="22">
        <v>0.42635168479510499</v>
      </c>
      <c r="G11" s="21">
        <v>0.53485123421881797</v>
      </c>
      <c r="H11" s="22">
        <v>0.52824935812476215</v>
      </c>
      <c r="I11" s="22">
        <v>0.28139932601390294</v>
      </c>
      <c r="J11" s="21">
        <v>1.49</v>
      </c>
      <c r="K11" s="22">
        <v>0.68376975323715272</v>
      </c>
      <c r="L11" s="21">
        <v>0.40828403637198435</v>
      </c>
      <c r="M11" s="21">
        <v>0.49330354715181235</v>
      </c>
      <c r="N11" s="21">
        <v>0.36709746846716262</v>
      </c>
      <c r="O11" s="21">
        <v>1.38</v>
      </c>
      <c r="P11" s="22">
        <v>9.8483006158504638E-2</v>
      </c>
      <c r="Q11" s="21">
        <v>3.2049272865595065E-2</v>
      </c>
      <c r="R11" s="22">
        <v>0.43773547161553805</v>
      </c>
      <c r="S11" s="22">
        <v>0.30827937559895202</v>
      </c>
      <c r="T11" s="21">
        <v>1.48</v>
      </c>
      <c r="U11" s="22">
        <v>0.34092326848301596</v>
      </c>
      <c r="V11" s="21">
        <v>0.3815447025393402</v>
      </c>
    </row>
    <row r="12" spans="1:22" x14ac:dyDescent="0.25">
      <c r="A12" s="3"/>
      <c r="B12" s="3" t="s">
        <v>2</v>
      </c>
      <c r="C12" s="21">
        <v>0.60205205424220876</v>
      </c>
      <c r="D12" s="21">
        <v>0.17843601220151029</v>
      </c>
      <c r="E12" s="21">
        <v>1.53</v>
      </c>
      <c r="F12" s="22"/>
      <c r="G12" s="21"/>
      <c r="H12" s="22">
        <v>0.5353440886040155</v>
      </c>
      <c r="I12" s="22">
        <v>0.27440626516930883</v>
      </c>
      <c r="J12" s="21">
        <v>1.51</v>
      </c>
      <c r="K12" s="22"/>
      <c r="L12" s="21"/>
      <c r="M12" s="21">
        <v>0.53065794889670759</v>
      </c>
      <c r="N12" s="21">
        <v>0.38315631001091366</v>
      </c>
      <c r="O12" s="21">
        <v>1.62</v>
      </c>
      <c r="P12" s="22"/>
      <c r="Q12" s="21"/>
      <c r="R12" s="22">
        <v>0.46853704899638132</v>
      </c>
      <c r="S12" s="22">
        <v>0.42523200285893087</v>
      </c>
      <c r="T12" s="21">
        <v>1.52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0.5889993557795008</v>
      </c>
      <c r="D13" s="22">
        <v>0.17239412712534122</v>
      </c>
      <c r="E13" s="22">
        <v>1.45</v>
      </c>
      <c r="F13" s="21">
        <v>0.13263487142299524</v>
      </c>
      <c r="G13" s="22">
        <v>0.10947879305181581</v>
      </c>
      <c r="H13" s="21">
        <v>0.51901336630962713</v>
      </c>
      <c r="I13" s="21">
        <v>0.27176742366233203</v>
      </c>
      <c r="J13" s="22">
        <v>1.44</v>
      </c>
      <c r="K13" s="21">
        <v>0.49593180083891542</v>
      </c>
      <c r="L13" s="22">
        <v>0.93560050400039141</v>
      </c>
      <c r="M13" s="22">
        <v>0.86225369894965764</v>
      </c>
      <c r="N13" s="22">
        <v>1.500592874073102</v>
      </c>
      <c r="O13" s="22">
        <v>1.48</v>
      </c>
      <c r="P13" s="21">
        <v>0.37341087347652435</v>
      </c>
      <c r="Q13" s="22">
        <v>0.89740735552547335</v>
      </c>
      <c r="R13" s="21">
        <v>0.65325088831439093</v>
      </c>
      <c r="S13" s="21">
        <v>1.5627602364431339</v>
      </c>
      <c r="T13" s="22">
        <v>1.5</v>
      </c>
      <c r="U13" s="21">
        <v>0.52865258878378685</v>
      </c>
      <c r="V13" s="22">
        <v>0.47344152235542181</v>
      </c>
    </row>
    <row r="14" spans="1:22" x14ac:dyDescent="0.25">
      <c r="A14" s="3"/>
      <c r="B14" s="3" t="s">
        <v>2</v>
      </c>
      <c r="C14" s="22">
        <v>0.61996036875983362</v>
      </c>
      <c r="D14" s="22">
        <v>0.14348573580412863</v>
      </c>
      <c r="E14" s="22">
        <v>1.55</v>
      </c>
      <c r="F14" s="21"/>
      <c r="G14" s="22"/>
      <c r="H14" s="21">
        <v>0.50682420719598975</v>
      </c>
      <c r="I14" s="21">
        <v>0.27894573140714535</v>
      </c>
      <c r="J14" s="22">
        <v>1.56</v>
      </c>
      <c r="K14" s="21"/>
      <c r="L14" s="22"/>
      <c r="M14" s="22">
        <v>0.76080804726179674</v>
      </c>
      <c r="N14" s="22">
        <v>1.3124833315880395</v>
      </c>
      <c r="O14" s="22">
        <v>1.52</v>
      </c>
      <c r="P14" s="21"/>
      <c r="Q14" s="22"/>
      <c r="R14" s="21">
        <v>0.77874417125896711</v>
      </c>
      <c r="S14" s="21">
        <v>1.9631054657113469</v>
      </c>
      <c r="T14" s="22">
        <v>1.5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0.56075355825070572</v>
      </c>
      <c r="D15" s="21">
        <v>0.19033658505830262</v>
      </c>
      <c r="E15" s="21">
        <v>1.53</v>
      </c>
      <c r="F15" s="22">
        <v>0.38869153384856053</v>
      </c>
      <c r="G15" s="21">
        <v>0.48842097789689232</v>
      </c>
      <c r="H15" s="22">
        <v>0.47669068095838263</v>
      </c>
      <c r="I15" s="22">
        <v>0.22949741497857443</v>
      </c>
      <c r="J15" s="21">
        <v>1.51</v>
      </c>
      <c r="K15" s="22">
        <v>0.76378807762466183</v>
      </c>
      <c r="L15" s="21">
        <v>0.57166271107755806</v>
      </c>
      <c r="M15" s="21">
        <v>0.40455760200988095</v>
      </c>
      <c r="N15" s="21">
        <v>0.2516897161360574</v>
      </c>
      <c r="O15" s="21">
        <v>1.45</v>
      </c>
      <c r="P15" s="22">
        <v>0.3675914235606989</v>
      </c>
      <c r="Q15" s="21">
        <v>0.28570104504038352</v>
      </c>
      <c r="R15" s="22">
        <v>0.35991347815294383</v>
      </c>
      <c r="S15" s="22">
        <v>0.24665421121205541</v>
      </c>
      <c r="T15" s="21">
        <v>1.58</v>
      </c>
      <c r="U15" s="22">
        <v>0.37096711666081761</v>
      </c>
      <c r="V15" s="21">
        <v>0.16428535537362446</v>
      </c>
    </row>
    <row r="16" spans="1:22" x14ac:dyDescent="0.25">
      <c r="A16" s="3"/>
      <c r="B16" s="3" t="s">
        <v>2</v>
      </c>
      <c r="C16" s="21">
        <v>0.53962159278861155</v>
      </c>
      <c r="D16" s="21">
        <v>0.21863525300328868</v>
      </c>
      <c r="E16" s="21">
        <v>1.47</v>
      </c>
      <c r="F16" s="22"/>
      <c r="G16" s="21"/>
      <c r="H16" s="22">
        <v>0.47202517252337522</v>
      </c>
      <c r="I16" s="22">
        <v>0.25248986849819732</v>
      </c>
      <c r="J16" s="21">
        <v>1.49</v>
      </c>
      <c r="K16" s="22"/>
      <c r="L16" s="21"/>
      <c r="M16" s="21">
        <v>0.42368054691758134</v>
      </c>
      <c r="N16" s="21">
        <v>0.2496349806748307</v>
      </c>
      <c r="O16" s="21">
        <v>1.55</v>
      </c>
      <c r="P16" s="22"/>
      <c r="Q16" s="21"/>
      <c r="R16" s="22">
        <v>0.34365631555395004</v>
      </c>
      <c r="S16" s="22">
        <v>0.25976157197018607</v>
      </c>
      <c r="T16" s="21">
        <v>1.42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0.60192455847278215</v>
      </c>
      <c r="D17" s="22">
        <v>0.20077288968160215</v>
      </c>
      <c r="E17" s="22">
        <v>1.57</v>
      </c>
      <c r="F17" s="21">
        <v>9.5297099309554809E-2</v>
      </c>
      <c r="G17" s="22">
        <v>0.20148305647548537</v>
      </c>
      <c r="H17" s="21">
        <v>0.36945999803876522</v>
      </c>
      <c r="I17" s="21">
        <v>0.23423251760589101</v>
      </c>
      <c r="J17" s="22">
        <v>1.5</v>
      </c>
      <c r="K17" s="21">
        <v>0.96394423929159179</v>
      </c>
      <c r="L17" s="22">
        <v>0.62903563940321439</v>
      </c>
      <c r="M17" s="22">
        <v>0.30593979989363929</v>
      </c>
      <c r="N17" s="22">
        <v>0.17694778877927655</v>
      </c>
      <c r="O17" s="22">
        <v>1.44</v>
      </c>
      <c r="P17" s="21">
        <v>0.1969275597297851</v>
      </c>
      <c r="Q17" s="22">
        <v>0.28881570687780328</v>
      </c>
      <c r="R17" s="21">
        <v>0.29249276296833931</v>
      </c>
      <c r="S17" s="21">
        <v>0.17938808138353257</v>
      </c>
      <c r="T17" s="22">
        <v>1.52</v>
      </c>
      <c r="U17" s="21">
        <v>0.16824722583304494</v>
      </c>
      <c r="V17" s="22">
        <v>0.30311409392753075</v>
      </c>
    </row>
    <row r="18" spans="1:22" x14ac:dyDescent="0.25">
      <c r="A18" s="3"/>
      <c r="B18" s="3" t="s">
        <v>2</v>
      </c>
      <c r="C18" s="22">
        <v>0.56819259316271398</v>
      </c>
      <c r="D18" s="22">
        <v>0.20548302275972039</v>
      </c>
      <c r="E18" s="22">
        <v>1.43</v>
      </c>
      <c r="F18" s="21"/>
      <c r="G18" s="22"/>
      <c r="H18" s="21">
        <v>0.36876998173806053</v>
      </c>
      <c r="I18" s="21">
        <v>0.23604436336265855</v>
      </c>
      <c r="J18" s="22">
        <v>1.5</v>
      </c>
      <c r="K18" s="21"/>
      <c r="L18" s="22"/>
      <c r="M18" s="22">
        <v>0.33053781553789102</v>
      </c>
      <c r="N18" s="22">
        <v>0.19087799438874775</v>
      </c>
      <c r="O18" s="22">
        <v>1.56</v>
      </c>
      <c r="P18" s="21"/>
      <c r="Q18" s="22"/>
      <c r="R18" s="21">
        <v>0.26372193936121852</v>
      </c>
      <c r="S18" s="21">
        <v>0.19272807247016255</v>
      </c>
      <c r="T18" s="22">
        <v>1.48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0.59436580745620671</v>
      </c>
      <c r="D19" s="21">
        <v>0.2271979223309116</v>
      </c>
      <c r="E19" s="21">
        <v>1.46</v>
      </c>
      <c r="F19" s="22">
        <v>0.82988735392417678</v>
      </c>
      <c r="G19" s="21">
        <v>0.72451708402777615</v>
      </c>
      <c r="H19" s="22">
        <v>0.58953193546904215</v>
      </c>
      <c r="I19" s="22">
        <v>0.2166778677000302</v>
      </c>
      <c r="J19" s="21">
        <v>1.56</v>
      </c>
      <c r="K19" s="22">
        <v>0.40562281317318499</v>
      </c>
      <c r="L19" s="21">
        <v>0.4755658548014236</v>
      </c>
      <c r="M19" s="21">
        <v>0.46227200205233493</v>
      </c>
      <c r="N19" s="21">
        <v>0.25372748911220738</v>
      </c>
      <c r="O19" s="21">
        <v>1.54</v>
      </c>
      <c r="P19" s="22">
        <v>0.39083478384377324</v>
      </c>
      <c r="Q19" s="21">
        <v>0.43610898105200441</v>
      </c>
      <c r="R19" s="22">
        <v>0.32228234790982846</v>
      </c>
      <c r="S19" s="22">
        <v>0.24756439584143955</v>
      </c>
      <c r="T19" s="21">
        <v>1.47</v>
      </c>
      <c r="U19" s="22">
        <v>0.39229973468659468</v>
      </c>
      <c r="V19" s="21">
        <v>0.31455508332170296</v>
      </c>
    </row>
    <row r="20" spans="1:22" x14ac:dyDescent="0.25">
      <c r="A20" s="3"/>
      <c r="B20" s="3" t="s">
        <v>2</v>
      </c>
      <c r="C20" s="21">
        <v>0.58871625934391958</v>
      </c>
      <c r="D20" s="21">
        <v>0.23328137211130456</v>
      </c>
      <c r="E20" s="21">
        <v>1.54</v>
      </c>
      <c r="F20" s="22"/>
      <c r="G20" s="21"/>
      <c r="H20" s="22">
        <v>0.56823636670374378</v>
      </c>
      <c r="I20" s="22">
        <v>0.2133479434279599</v>
      </c>
      <c r="J20" s="21">
        <v>1.44</v>
      </c>
      <c r="K20" s="22"/>
      <c r="L20" s="21"/>
      <c r="M20" s="21">
        <v>0.435184186779492</v>
      </c>
      <c r="N20" s="21">
        <v>0.22906467093203581</v>
      </c>
      <c r="O20" s="21">
        <v>1.46</v>
      </c>
      <c r="P20" s="22"/>
      <c r="Q20" s="21"/>
      <c r="R20" s="22">
        <v>0.34633952685286773</v>
      </c>
      <c r="S20" s="22">
        <v>0.26848759694407559</v>
      </c>
      <c r="T20" s="21">
        <v>1.53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0.7050846251363363</v>
      </c>
      <c r="D21" s="22">
        <v>0.14904556526203111</v>
      </c>
      <c r="E21" s="22">
        <v>1.45</v>
      </c>
      <c r="F21" s="21">
        <v>0.693899510197453</v>
      </c>
      <c r="G21" s="22">
        <v>0.99039837967530753</v>
      </c>
      <c r="H21" s="21">
        <v>0.58067673651357798</v>
      </c>
      <c r="I21" s="21">
        <v>0.30540395911732815</v>
      </c>
      <c r="J21" s="22">
        <v>1.55</v>
      </c>
      <c r="K21" s="21">
        <v>0.17245630850364702</v>
      </c>
      <c r="L21" s="22">
        <v>0.20514717152320558</v>
      </c>
      <c r="M21" s="22">
        <v>0.53463635403467547</v>
      </c>
      <c r="N21" s="22">
        <v>0.29181974451294318</v>
      </c>
      <c r="O21" s="22">
        <v>1.45</v>
      </c>
      <c r="P21" s="21">
        <v>0.99445357432214376</v>
      </c>
      <c r="Q21" s="22">
        <v>0.59288532260065985</v>
      </c>
      <c r="R21" s="21">
        <v>0.50690140109329951</v>
      </c>
      <c r="S21" s="21">
        <v>0.28381693978606409</v>
      </c>
      <c r="T21" s="22">
        <v>1.54</v>
      </c>
      <c r="U21" s="21">
        <v>0.112168032208787</v>
      </c>
      <c r="V21" s="22">
        <v>0.19548265412641516</v>
      </c>
    </row>
    <row r="22" spans="1:22" x14ac:dyDescent="0.25">
      <c r="A22" s="3"/>
      <c r="B22" s="3" t="s">
        <v>2</v>
      </c>
      <c r="C22" s="22">
        <v>0.69893120021006927</v>
      </c>
      <c r="D22" s="22">
        <v>0.15110419100069072</v>
      </c>
      <c r="E22" s="22">
        <v>1.55</v>
      </c>
      <c r="F22" s="21"/>
      <c r="G22" s="22"/>
      <c r="H22" s="21">
        <v>0.55951873400142949</v>
      </c>
      <c r="I22" s="21">
        <v>0.31083716946586626</v>
      </c>
      <c r="J22" s="22">
        <v>1.45</v>
      </c>
      <c r="K22" s="21"/>
      <c r="L22" s="22"/>
      <c r="M22" s="22">
        <v>0.53447057070645076</v>
      </c>
      <c r="N22" s="22">
        <v>0.30357944963001904</v>
      </c>
      <c r="O22" s="22">
        <v>1.55</v>
      </c>
      <c r="P22" s="21"/>
      <c r="Q22" s="22"/>
      <c r="R22" s="21">
        <v>0.46352774839061417</v>
      </c>
      <c r="S22" s="21">
        <v>0.32624006958885643</v>
      </c>
      <c r="T22" s="22">
        <v>1.46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2.7499978634514861E-4</v>
      </c>
      <c r="D23" s="21">
        <v>1.4979882617160206E-4</v>
      </c>
      <c r="E23" s="21">
        <v>1.4750000000000001</v>
      </c>
      <c r="F23" s="22">
        <v>0.94338432081765755</v>
      </c>
      <c r="G23" s="21">
        <v>0.94380711438537068</v>
      </c>
      <c r="H23" s="22">
        <v>5.8402246335882127E-4</v>
      </c>
      <c r="I23" s="22">
        <v>6.5502966393203859E-4</v>
      </c>
      <c r="J23" s="21">
        <v>1.55</v>
      </c>
      <c r="K23" s="22">
        <v>0.22227592688917344</v>
      </c>
      <c r="L23" s="21">
        <v>0.32458474326181813</v>
      </c>
      <c r="M23" s="21">
        <v>1.8899439470142353E-3</v>
      </c>
      <c r="N23" s="21">
        <v>4.2195651268468028E-3</v>
      </c>
      <c r="O23" s="21">
        <v>1.49</v>
      </c>
      <c r="P23" s="22">
        <v>0.45200855307444943</v>
      </c>
      <c r="Q23" s="21">
        <v>0.40828403637198435</v>
      </c>
      <c r="R23" s="22">
        <v>3.5564327342079067E-3</v>
      </c>
      <c r="S23" s="22">
        <v>5.9198165708281049E-3</v>
      </c>
      <c r="T23" s="21">
        <v>1.4750000000000001</v>
      </c>
      <c r="U23" s="22">
        <v>0.94925198590447601</v>
      </c>
      <c r="V23" s="21">
        <v>0.78194508452349931</v>
      </c>
    </row>
    <row r="24" spans="1:22" x14ac:dyDescent="0.25">
      <c r="A24" s="3"/>
      <c r="B24" s="3" t="s">
        <v>2</v>
      </c>
      <c r="C24" s="21">
        <v>2.7400016414021454E-4</v>
      </c>
      <c r="D24" s="21">
        <v>1.1606306752687491E-4</v>
      </c>
      <c r="E24" s="21">
        <v>1.5249999999999999</v>
      </c>
      <c r="F24" s="22"/>
      <c r="G24" s="21"/>
      <c r="H24" s="22">
        <v>5.2755777383774139E-4</v>
      </c>
      <c r="I24" s="22">
        <v>5.4957220449451942E-4</v>
      </c>
      <c r="J24" s="21">
        <v>1.45</v>
      </c>
      <c r="K24" s="22"/>
      <c r="L24" s="21"/>
      <c r="M24" s="21">
        <v>2.1313470813435109E-3</v>
      </c>
      <c r="N24" s="21">
        <v>3.4448440139679564E-3</v>
      </c>
      <c r="O24" s="21">
        <v>1.51</v>
      </c>
      <c r="P24" s="22"/>
      <c r="Q24" s="21"/>
      <c r="R24" s="22">
        <v>3.5101900905747129E-3</v>
      </c>
      <c r="S24" s="22">
        <v>6.4513538213823397E-3</v>
      </c>
      <c r="T24" s="21">
        <v>1.5249999999999999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2.2858964542035735E-2</v>
      </c>
      <c r="D25" s="22">
        <v>4.7831394826291273E-3</v>
      </c>
      <c r="E25" s="22">
        <v>1.49</v>
      </c>
      <c r="F25" s="21">
        <v>0.5131823795196403</v>
      </c>
      <c r="G25" s="22">
        <v>0.62416129109691187</v>
      </c>
      <c r="H25" s="21">
        <v>1.8881958809839058E-2</v>
      </c>
      <c r="I25" s="21">
        <v>6.7187686964806205E-3</v>
      </c>
      <c r="J25" s="22">
        <v>1.5049999999999999</v>
      </c>
      <c r="K25" s="21">
        <v>0.57660612793093702</v>
      </c>
      <c r="L25" s="22">
        <v>0.85675059188181957</v>
      </c>
      <c r="M25" s="22">
        <v>1.478836043468371E-2</v>
      </c>
      <c r="N25" s="22">
        <v>7.0804663062076761E-3</v>
      </c>
      <c r="O25" s="22">
        <v>1.51</v>
      </c>
      <c r="P25" s="21">
        <v>0.56362398504550382</v>
      </c>
      <c r="Q25" s="22">
        <v>0.92466914180577042</v>
      </c>
      <c r="R25" s="21">
        <v>1.3274027183501491E-2</v>
      </c>
      <c r="S25" s="21">
        <v>7.2316788421165658E-3</v>
      </c>
      <c r="T25" s="22">
        <v>1.56</v>
      </c>
      <c r="U25" s="21">
        <v>0.29810208741222421</v>
      </c>
      <c r="V25" s="22">
        <v>0.27196667181441714</v>
      </c>
    </row>
    <row r="26" spans="1:22" x14ac:dyDescent="0.25">
      <c r="A26" s="3"/>
      <c r="B26" s="3" t="s">
        <v>2</v>
      </c>
      <c r="C26" s="22">
        <v>2.2860153916766192E-2</v>
      </c>
      <c r="D26" s="22">
        <v>4.7837252517588299E-3</v>
      </c>
      <c r="E26" s="22">
        <v>1.51</v>
      </c>
      <c r="F26" s="21"/>
      <c r="G26" s="22"/>
      <c r="H26" s="21">
        <v>1.8772590968965809E-2</v>
      </c>
      <c r="I26" s="21">
        <v>6.7761032171824E-3</v>
      </c>
      <c r="J26" s="22">
        <v>1.4950000000000001</v>
      </c>
      <c r="K26" s="21"/>
      <c r="L26" s="22"/>
      <c r="M26" s="22">
        <v>1.4402739719255568E-2</v>
      </c>
      <c r="N26" s="22">
        <v>6.8531947896878845E-3</v>
      </c>
      <c r="O26" s="22">
        <v>1.49</v>
      </c>
      <c r="P26" s="21"/>
      <c r="Q26" s="22"/>
      <c r="R26" s="21">
        <v>1.2442393471301156E-2</v>
      </c>
      <c r="S26" s="21">
        <v>7.7871767764492216E-3</v>
      </c>
      <c r="T26" s="22">
        <v>1.44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1.875146120100192E-2</v>
      </c>
      <c r="D27" s="21">
        <v>5.5550363533653259E-3</v>
      </c>
      <c r="E27" s="21">
        <v>1.41</v>
      </c>
      <c r="F27" s="22">
        <v>8.4458126902172928E-2</v>
      </c>
      <c r="G27" s="21">
        <v>6.2140594098002128E-2</v>
      </c>
      <c r="H27" s="22">
        <v>1.6001796172365988E-2</v>
      </c>
      <c r="I27" s="22">
        <v>6.6102337285612418E-3</v>
      </c>
      <c r="J27" s="21">
        <v>1.42</v>
      </c>
      <c r="K27" s="22">
        <v>0.13921935611961286</v>
      </c>
      <c r="L27" s="21">
        <v>8.9731961497791557E-2</v>
      </c>
      <c r="M27" s="21">
        <v>1.4663359398651177E-2</v>
      </c>
      <c r="N27" s="21">
        <v>7.4461209421243313E-3</v>
      </c>
      <c r="O27" s="21">
        <v>1.55</v>
      </c>
      <c r="P27" s="22">
        <v>0.95822437453457643</v>
      </c>
      <c r="Q27" s="21">
        <v>0.94380711438537068</v>
      </c>
      <c r="R27" s="22">
        <v>1.2631690540781946E-2</v>
      </c>
      <c r="S27" s="22">
        <v>7.269739986089741E-3</v>
      </c>
      <c r="T27" s="21">
        <v>1.55</v>
      </c>
      <c r="U27" s="22">
        <v>0.88085292512777547</v>
      </c>
      <c r="V27" s="21">
        <v>0.41612413665335019</v>
      </c>
    </row>
    <row r="28" spans="1:22" x14ac:dyDescent="0.25">
      <c r="A28" s="3"/>
      <c r="B28" s="3" t="s">
        <v>2</v>
      </c>
      <c r="C28" s="21">
        <v>1.9564421410747667E-2</v>
      </c>
      <c r="D28" s="21">
        <v>5.6590785412218127E-3</v>
      </c>
      <c r="E28" s="21">
        <v>1.59</v>
      </c>
      <c r="F28" s="22"/>
      <c r="G28" s="21"/>
      <c r="H28" s="22">
        <v>1.6538980968570805E-2</v>
      </c>
      <c r="I28" s="22">
        <v>6.2455651878229211E-3</v>
      </c>
      <c r="J28" s="21">
        <v>1.58</v>
      </c>
      <c r="K28" s="22"/>
      <c r="L28" s="21"/>
      <c r="M28" s="21">
        <v>1.4697471484818219E-2</v>
      </c>
      <c r="N28" s="21">
        <v>7.5006158196739801E-3</v>
      </c>
      <c r="O28" s="21">
        <v>1.45</v>
      </c>
      <c r="P28" s="22"/>
      <c r="Q28" s="21"/>
      <c r="R28" s="22">
        <v>1.2516222717845717E-2</v>
      </c>
      <c r="S28" s="22">
        <v>8.4233538357376368E-3</v>
      </c>
      <c r="T28" s="21">
        <v>1.45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6.5616379340299166E-5</v>
      </c>
      <c r="D29" s="22">
        <v>4.3840262925000206E-5</v>
      </c>
      <c r="E29" s="22">
        <v>1.4950000000000001</v>
      </c>
      <c r="F29" s="21">
        <v>0.73302222755284818</v>
      </c>
      <c r="G29" s="22">
        <v>0.77930605761038341</v>
      </c>
      <c r="H29" s="21">
        <v>2.0203104045943412E-4</v>
      </c>
      <c r="I29" s="21">
        <v>3.0005311915173692E-4</v>
      </c>
      <c r="J29" s="22">
        <v>1.5349999999999999</v>
      </c>
      <c r="K29" s="21">
        <v>0.26799982998494731</v>
      </c>
      <c r="L29" s="22">
        <v>0.49927506118435261</v>
      </c>
      <c r="M29" s="22">
        <v>1.7197591201618112E-3</v>
      </c>
      <c r="N29" s="22">
        <v>3.2309362017983513E-3</v>
      </c>
      <c r="O29" s="22">
        <v>1.4950000000000001</v>
      </c>
      <c r="P29" s="21">
        <v>0.43084794650559544</v>
      </c>
      <c r="Q29" s="22">
        <v>0.89468728716704149</v>
      </c>
      <c r="R29" s="21">
        <v>1.235536838762464E-3</v>
      </c>
      <c r="S29" s="21">
        <v>2.8264283359301693E-3</v>
      </c>
      <c r="T29" s="22">
        <v>1.46</v>
      </c>
      <c r="U29" s="21">
        <v>0.25124370851728473</v>
      </c>
      <c r="V29" s="22">
        <v>0.32627637516262764</v>
      </c>
    </row>
    <row r="30" spans="1:22" x14ac:dyDescent="0.25">
      <c r="A30" s="3"/>
      <c r="B30" s="3" t="s">
        <v>2</v>
      </c>
      <c r="C30" s="22">
        <v>6.4323696625958715E-5</v>
      </c>
      <c r="D30" s="22">
        <v>2.9174188023186527E-5</v>
      </c>
      <c r="E30" s="22">
        <v>1.5049999999999999</v>
      </c>
      <c r="F30" s="21"/>
      <c r="G30" s="22"/>
      <c r="H30" s="21">
        <v>1.8151687432595075E-4</v>
      </c>
      <c r="I30" s="21">
        <v>2.9354650126652438E-4</v>
      </c>
      <c r="J30" s="22">
        <v>1.4650000000000001</v>
      </c>
      <c r="K30" s="21"/>
      <c r="L30" s="22"/>
      <c r="M30" s="22">
        <v>1.5050709573442437E-3</v>
      </c>
      <c r="N30" s="22">
        <v>3.1086193518152032E-3</v>
      </c>
      <c r="O30" s="22">
        <v>1.5049999999999999</v>
      </c>
      <c r="P30" s="21"/>
      <c r="Q30" s="22"/>
      <c r="R30" s="21">
        <v>1.6623324183607754E-3</v>
      </c>
      <c r="S30" s="21">
        <v>3.04903106071847E-3</v>
      </c>
      <c r="T30" s="22">
        <v>1.54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1.6113562274339677E-4</v>
      </c>
      <c r="D31" s="21">
        <v>1.3360214093343322E-4</v>
      </c>
      <c r="E31" s="21">
        <v>1.415</v>
      </c>
      <c r="F31" s="22">
        <v>0.15561976709428249</v>
      </c>
      <c r="G31" s="21">
        <v>8.0993597487477281E-2</v>
      </c>
      <c r="H31" s="22">
        <v>3.3767082966498709E-4</v>
      </c>
      <c r="I31" s="22">
        <v>5.7051166540277953E-4</v>
      </c>
      <c r="J31" s="21">
        <v>1.4850000000000001</v>
      </c>
      <c r="K31" s="22">
        <v>0.74470965814856427</v>
      </c>
      <c r="L31" s="21">
        <v>0.53033528187463386</v>
      </c>
      <c r="M31" s="21">
        <v>1.8294962536576889E-3</v>
      </c>
      <c r="N31" s="21">
        <v>3.2974869088392596E-3</v>
      </c>
      <c r="O31" s="21">
        <v>1.4650000000000001</v>
      </c>
      <c r="P31" s="22">
        <v>8.6824395153847697E-2</v>
      </c>
      <c r="Q31" s="21">
        <v>0.68116066120832741</v>
      </c>
      <c r="R31" s="22">
        <v>2.2149401143398968E-3</v>
      </c>
      <c r="S31" s="22">
        <v>3.2843543362335108E-3</v>
      </c>
      <c r="T31" s="21">
        <v>1.46</v>
      </c>
      <c r="U31" s="22">
        <v>0.71369388557781333</v>
      </c>
      <c r="V31" s="21">
        <v>0.57166271107755806</v>
      </c>
    </row>
    <row r="32" spans="1:22" x14ac:dyDescent="0.25">
      <c r="A32" s="3"/>
      <c r="B32" s="3" t="s">
        <v>2</v>
      </c>
      <c r="C32" s="21">
        <v>1.7227209921094383E-4</v>
      </c>
      <c r="D32" s="21">
        <v>1.2425807888797656E-4</v>
      </c>
      <c r="E32" s="21">
        <v>1.585</v>
      </c>
      <c r="F32" s="22"/>
      <c r="G32" s="21"/>
      <c r="H32" s="22">
        <v>3.4386980827059868E-4</v>
      </c>
      <c r="I32" s="22">
        <v>5.3790022840620759E-4</v>
      </c>
      <c r="J32" s="21">
        <v>1.5149999999999999</v>
      </c>
      <c r="K32" s="22"/>
      <c r="L32" s="21"/>
      <c r="M32" s="21">
        <v>1.4100502010865607E-3</v>
      </c>
      <c r="N32" s="21">
        <v>2.4134287551325004E-3</v>
      </c>
      <c r="O32" s="21">
        <v>1.5349999999999999</v>
      </c>
      <c r="P32" s="22"/>
      <c r="Q32" s="21"/>
      <c r="R32" s="22">
        <v>2.3643756392434712E-3</v>
      </c>
      <c r="S32" s="22">
        <v>3.5226153618955367E-3</v>
      </c>
      <c r="T32" s="21">
        <v>1.54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3.9103565331020775E-3</v>
      </c>
      <c r="D33" s="22">
        <v>3.2256540783559625E-3</v>
      </c>
      <c r="E33" s="22">
        <v>1.575</v>
      </c>
      <c r="F33" s="21">
        <v>0.18992528930688432</v>
      </c>
      <c r="G33" s="22">
        <v>0.25724447535051465</v>
      </c>
      <c r="H33" s="21">
        <v>1.7477613059575482E-3</v>
      </c>
      <c r="I33" s="21">
        <v>1.6894519452630842E-3</v>
      </c>
      <c r="J33" s="22">
        <v>1.5249999999999999</v>
      </c>
      <c r="K33" s="21">
        <v>0.72873365425524739</v>
      </c>
      <c r="L33" s="22">
        <v>0.69635178840489231</v>
      </c>
      <c r="M33" s="22">
        <v>2.164802942638783E-3</v>
      </c>
      <c r="N33" s="22">
        <v>2.2400876148883624E-3</v>
      </c>
      <c r="O33" s="22">
        <v>1.44</v>
      </c>
      <c r="P33" s="21">
        <v>0.53586542463575826</v>
      </c>
      <c r="Q33" s="22">
        <v>0.28881570687780328</v>
      </c>
      <c r="R33" s="21">
        <v>2.5522216374076769E-3</v>
      </c>
      <c r="S33" s="21">
        <v>2.3833357067969125E-3</v>
      </c>
      <c r="T33" s="22">
        <v>1.4850000000000001</v>
      </c>
      <c r="U33" s="21">
        <v>0.17969953543797224</v>
      </c>
      <c r="V33" s="22">
        <v>0.42804944702637138</v>
      </c>
    </row>
    <row r="34" spans="1:22" x14ac:dyDescent="0.25">
      <c r="A34" s="3"/>
      <c r="B34" s="3" t="s">
        <v>2</v>
      </c>
      <c r="C34" s="22">
        <v>3.3797006735226689E-3</v>
      </c>
      <c r="D34" s="22">
        <v>2.5118653339379054E-3</v>
      </c>
      <c r="E34" s="22">
        <v>1.425</v>
      </c>
      <c r="F34" s="21"/>
      <c r="G34" s="22"/>
      <c r="H34" s="21">
        <v>1.6840535195266221E-3</v>
      </c>
      <c r="I34" s="21">
        <v>1.5899736553791136E-3</v>
      </c>
      <c r="J34" s="22">
        <v>1.4750000000000001</v>
      </c>
      <c r="K34" s="21"/>
      <c r="L34" s="22"/>
      <c r="M34" s="22">
        <v>2.3096450303104572E-3</v>
      </c>
      <c r="N34" s="22">
        <v>2.1894287340381013E-3</v>
      </c>
      <c r="O34" s="22">
        <v>1.56</v>
      </c>
      <c r="P34" s="21"/>
      <c r="Q34" s="22"/>
      <c r="R34" s="21">
        <v>2.9685226012209618E-3</v>
      </c>
      <c r="S34" s="21">
        <v>2.9655725104701593E-3</v>
      </c>
      <c r="T34" s="22">
        <v>1.5149999999999999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0.59061865456855678</v>
      </c>
      <c r="D35" s="21">
        <v>0.13151252916204209</v>
      </c>
      <c r="E35" s="21">
        <v>1.5</v>
      </c>
      <c r="F35" s="22">
        <v>0.67706907222252999</v>
      </c>
      <c r="G35" s="21">
        <v>0.70654776469658631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  <c r="T35" s="18"/>
      <c r="U35" s="18"/>
      <c r="V35" s="10"/>
    </row>
    <row r="36" spans="1:22" x14ac:dyDescent="0.25">
      <c r="A36" s="3"/>
      <c r="B36" s="3" t="s">
        <v>2</v>
      </c>
      <c r="C36" s="21">
        <v>0.58477245908458908</v>
      </c>
      <c r="D36" s="21">
        <v>0.13993593415975378</v>
      </c>
      <c r="E36" s="21">
        <v>1.5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0.57980075441994883</v>
      </c>
      <c r="D37" s="22">
        <v>0.15653520049831426</v>
      </c>
      <c r="E37" s="22">
        <v>1.44</v>
      </c>
      <c r="F37" s="21">
        <v>0.15681472037631733</v>
      </c>
      <c r="G37" s="22">
        <v>0.22550874130903326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0.60597550925456689</v>
      </c>
      <c r="D38" s="22">
        <v>0.13639705027629739</v>
      </c>
      <c r="E38" s="22">
        <v>1.56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0.53049744483813333</v>
      </c>
      <c r="D39" s="21">
        <v>0.23199495075839863</v>
      </c>
      <c r="E39" s="21">
        <v>1.4850000000000001</v>
      </c>
      <c r="F39" s="22">
        <v>0.38060740730231674</v>
      </c>
      <c r="G39" s="21">
        <v>0.74004153223936253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0.55163537969832654</v>
      </c>
      <c r="D40" s="21">
        <v>0.2186782327422771</v>
      </c>
      <c r="E40" s="21">
        <v>1.5149999999999999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0.28848178975728145</v>
      </c>
      <c r="D41" s="22">
        <v>0.29876684204713272</v>
      </c>
      <c r="E41" s="22">
        <v>1.51</v>
      </c>
      <c r="F41" s="21">
        <v>0.77785328474088655</v>
      </c>
      <c r="G41" s="22">
        <v>0.96845927650308805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0.30181496051403839</v>
      </c>
      <c r="D42" s="22">
        <v>0.30456999732646101</v>
      </c>
      <c r="E42" s="22">
        <v>1.49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0.39043287377353209</v>
      </c>
      <c r="D43" s="21">
        <v>0.13355535504003363</v>
      </c>
      <c r="E43" s="21">
        <v>1.53</v>
      </c>
      <c r="F43" s="22">
        <v>0.19182396114029257</v>
      </c>
      <c r="G43" s="21">
        <v>0.77403565689599407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0.399995775824732</v>
      </c>
      <c r="D44" s="21">
        <v>0.14691935454770011</v>
      </c>
      <c r="E44" s="21">
        <v>1.47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0.25546712820445194</v>
      </c>
      <c r="D45" s="22">
        <v>0.1753392504978771</v>
      </c>
      <c r="E45" s="22">
        <v>1.53</v>
      </c>
      <c r="F45" s="21">
        <v>0.35294134528869203</v>
      </c>
      <c r="G45" s="22">
        <v>0.25009458992069938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0.23659347491891744</v>
      </c>
      <c r="D46" s="22">
        <v>0.17431413097942242</v>
      </c>
      <c r="E46" s="22">
        <v>1.47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D0CC-C428-4563-9220-ED9C6DD107BE}">
  <dimension ref="A1:V51"/>
  <sheetViews>
    <sheetView zoomScaleNormal="100" workbookViewId="0">
      <selection activeCell="AA18" sqref="AA18"/>
    </sheetView>
  </sheetViews>
  <sheetFormatPr defaultRowHeight="15" x14ac:dyDescent="0.25"/>
  <sheetData>
    <row r="1" spans="1:22" x14ac:dyDescent="0.25">
      <c r="A1" s="6" t="s">
        <v>30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0.17217647910786515</v>
      </c>
      <c r="D3" s="21">
        <v>8.1453969713973007E-2</v>
      </c>
      <c r="E3" s="21">
        <v>1.4950000000000001</v>
      </c>
      <c r="F3" s="22">
        <v>0.17035690009417079</v>
      </c>
      <c r="G3" s="21">
        <v>0.76090563091337893</v>
      </c>
      <c r="H3" s="22">
        <v>9.583567205202069E-2</v>
      </c>
      <c r="I3" s="22">
        <v>7.2260971485152592E-2</v>
      </c>
      <c r="J3" s="21">
        <v>1.47</v>
      </c>
      <c r="K3" s="22">
        <v>0.25983243195119315</v>
      </c>
      <c r="L3" s="21">
        <v>0.68874053323182916</v>
      </c>
      <c r="M3" s="21">
        <v>8.3948816678128063E-2</v>
      </c>
      <c r="N3" s="21">
        <v>6.8177229334125011E-2</v>
      </c>
      <c r="O3" s="21">
        <v>1.54</v>
      </c>
      <c r="P3" s="22">
        <v>0.93599616224455306</v>
      </c>
      <c r="Q3" s="21">
        <v>0.48197010760519099</v>
      </c>
      <c r="R3" s="22">
        <v>6.548629556635252E-2</v>
      </c>
      <c r="S3" s="22">
        <v>5.2048329265668013E-2</v>
      </c>
      <c r="T3" s="21">
        <v>1.4450000000000001</v>
      </c>
      <c r="U3" s="22">
        <v>0.32834364549855161</v>
      </c>
      <c r="V3" s="21">
        <v>0.44425530173389227</v>
      </c>
    </row>
    <row r="4" spans="1:22" x14ac:dyDescent="0.25">
      <c r="A4" s="4"/>
      <c r="B4" s="4" t="s">
        <v>2</v>
      </c>
      <c r="C4" s="21">
        <v>0.17319624056412361</v>
      </c>
      <c r="D4" s="21">
        <v>8.0892837993139816E-2</v>
      </c>
      <c r="E4" s="21">
        <v>1.5049999999999999</v>
      </c>
      <c r="F4" s="22"/>
      <c r="G4" s="21"/>
      <c r="H4" s="22">
        <v>9.4053443609621701E-2</v>
      </c>
      <c r="I4" s="22">
        <v>7.2653693811294454E-2</v>
      </c>
      <c r="J4" s="21">
        <v>1.53</v>
      </c>
      <c r="K4" s="22"/>
      <c r="L4" s="21"/>
      <c r="M4" s="21">
        <v>8.4413596647743352E-2</v>
      </c>
      <c r="N4" s="21">
        <v>6.4898438106228404E-2</v>
      </c>
      <c r="O4" s="21">
        <v>1.46</v>
      </c>
      <c r="P4" s="22"/>
      <c r="Q4" s="21"/>
      <c r="R4" s="22">
        <v>7.1023040697619291E-2</v>
      </c>
      <c r="S4" s="22">
        <v>6.2574646064437023E-2</v>
      </c>
      <c r="T4" s="21">
        <v>1.5549999999999999</v>
      </c>
      <c r="U4" s="22"/>
      <c r="V4" s="21"/>
    </row>
    <row r="5" spans="1:22" x14ac:dyDescent="0.25">
      <c r="A5" s="1" t="s">
        <v>1</v>
      </c>
      <c r="B5" s="1" t="s">
        <v>3</v>
      </c>
      <c r="C5" s="22">
        <v>0.22413335565045137</v>
      </c>
      <c r="D5" s="22">
        <v>0.1177581007982416</v>
      </c>
      <c r="E5" s="22">
        <v>1.4750000000000001</v>
      </c>
      <c r="F5" s="21">
        <v>0.77151698406463232</v>
      </c>
      <c r="G5" s="22">
        <v>0.87026614899464649</v>
      </c>
      <c r="H5" s="21">
        <v>0.11797008212736265</v>
      </c>
      <c r="I5" s="21">
        <v>8.5882848704732381E-2</v>
      </c>
      <c r="J5" s="22">
        <v>1.38</v>
      </c>
      <c r="K5" s="21">
        <v>0.40890229079223817</v>
      </c>
      <c r="L5" s="22">
        <v>1.9653215562944349E-2</v>
      </c>
      <c r="M5" s="22">
        <v>0.10816970330334888</v>
      </c>
      <c r="N5" s="22">
        <v>7.5775362255685888E-2</v>
      </c>
      <c r="O5" s="22">
        <v>1.43</v>
      </c>
      <c r="P5" s="21">
        <v>0.72681113835845579</v>
      </c>
      <c r="Q5" s="22">
        <v>0.20392045589932126</v>
      </c>
      <c r="R5" s="21">
        <v>9.9945221902535172E-2</v>
      </c>
      <c r="S5" s="21">
        <v>7.3678726170893161E-2</v>
      </c>
      <c r="T5" s="22">
        <v>1.44</v>
      </c>
      <c r="U5" s="21">
        <v>0.86739880568344463</v>
      </c>
      <c r="V5" s="22">
        <v>0.66360010506842215</v>
      </c>
    </row>
    <row r="6" spans="1:22" x14ac:dyDescent="0.25">
      <c r="A6" s="3"/>
      <c r="B6" s="3" t="s">
        <v>2</v>
      </c>
      <c r="C6" s="22">
        <v>0.22407777404797</v>
      </c>
      <c r="D6" s="22">
        <v>0.1181244056995456</v>
      </c>
      <c r="E6" s="22">
        <v>1.5249999999999999</v>
      </c>
      <c r="F6" s="21"/>
      <c r="G6" s="22"/>
      <c r="H6" s="21">
        <v>0.11577428083260478</v>
      </c>
      <c r="I6" s="21">
        <v>8.2633377548142109E-2</v>
      </c>
      <c r="J6" s="22">
        <v>1.62</v>
      </c>
      <c r="K6" s="21"/>
      <c r="L6" s="22"/>
      <c r="M6" s="22">
        <v>0.11019930009726077</v>
      </c>
      <c r="N6" s="22">
        <v>7.2894444410523951E-2</v>
      </c>
      <c r="O6" s="22">
        <v>1.57</v>
      </c>
      <c r="P6" s="21"/>
      <c r="Q6" s="22"/>
      <c r="R6" s="21">
        <v>9.9043222335322673E-2</v>
      </c>
      <c r="S6" s="21">
        <v>7.0054819460739839E-2</v>
      </c>
      <c r="T6" s="22">
        <v>1.56</v>
      </c>
      <c r="U6" s="21"/>
      <c r="V6" s="22"/>
    </row>
    <row r="7" spans="1:22" x14ac:dyDescent="0.25">
      <c r="A7" s="1" t="s">
        <v>7</v>
      </c>
      <c r="B7" s="1" t="s">
        <v>3</v>
      </c>
      <c r="C7" s="21">
        <v>0.22305390684671952</v>
      </c>
      <c r="D7" s="21">
        <v>0.1186466131361011</v>
      </c>
      <c r="E7" s="21">
        <v>1.47</v>
      </c>
      <c r="F7" s="22">
        <v>0.27324500542575259</v>
      </c>
      <c r="G7" s="21">
        <v>0.36858770942840491</v>
      </c>
      <c r="H7" s="22">
        <v>0.11934046788875084</v>
      </c>
      <c r="I7" s="22">
        <v>8.3096265739824399E-2</v>
      </c>
      <c r="J7" s="21">
        <v>1.4850000000000001</v>
      </c>
      <c r="K7" s="22">
        <v>0.64875348626732743</v>
      </c>
      <c r="L7" s="21">
        <v>0.75306027384010998</v>
      </c>
      <c r="M7" s="21">
        <v>0.17850651225052291</v>
      </c>
      <c r="N7" s="21">
        <v>0.19329501386565598</v>
      </c>
      <c r="O7" s="21">
        <v>1.51</v>
      </c>
      <c r="P7" s="22">
        <v>0.36452843215240399</v>
      </c>
      <c r="Q7" s="21">
        <v>0.97120069999607517</v>
      </c>
      <c r="R7" s="22">
        <v>0.3815561268199717</v>
      </c>
      <c r="S7" s="22">
        <v>0.43353888079863662</v>
      </c>
      <c r="T7" s="21">
        <v>1.53</v>
      </c>
      <c r="U7" s="22">
        <v>0.9833458070133686</v>
      </c>
      <c r="V7" s="21">
        <v>0.80846876114289934</v>
      </c>
    </row>
    <row r="8" spans="1:22" x14ac:dyDescent="0.25">
      <c r="A8" s="3"/>
      <c r="B8" s="3" t="s">
        <v>2</v>
      </c>
      <c r="C8" s="21">
        <v>0.22510988319358741</v>
      </c>
      <c r="D8" s="21">
        <v>0.11960337394931125</v>
      </c>
      <c r="E8" s="21">
        <v>1.53</v>
      </c>
      <c r="F8" s="22"/>
      <c r="G8" s="21"/>
      <c r="H8" s="22">
        <v>0.11811117018245058</v>
      </c>
      <c r="I8" s="22">
        <v>8.2414096831250019E-2</v>
      </c>
      <c r="J8" s="21">
        <v>1.5149999999999999</v>
      </c>
      <c r="K8" s="22"/>
      <c r="L8" s="21"/>
      <c r="M8" s="21">
        <v>0.16080404476746904</v>
      </c>
      <c r="N8" s="21">
        <v>0.14842266094766682</v>
      </c>
      <c r="O8" s="21">
        <v>1.49</v>
      </c>
      <c r="P8" s="22"/>
      <c r="Q8" s="21"/>
      <c r="R8" s="22">
        <v>0.38249909117552638</v>
      </c>
      <c r="S8" s="22">
        <v>0.47884304979512876</v>
      </c>
      <c r="T8" s="21">
        <v>1.47</v>
      </c>
      <c r="U8" s="22"/>
      <c r="V8" s="21"/>
    </row>
    <row r="9" spans="1:22" x14ac:dyDescent="0.25">
      <c r="A9" s="1" t="s">
        <v>8</v>
      </c>
      <c r="B9" s="1" t="s">
        <v>3</v>
      </c>
      <c r="C9" s="22">
        <v>0.22379906870138627</v>
      </c>
      <c r="D9" s="22">
        <v>0.1229151549905963</v>
      </c>
      <c r="E9" s="22">
        <v>1.5349999999999999</v>
      </c>
      <c r="F9" s="21">
        <v>0.83387350240365166</v>
      </c>
      <c r="G9" s="22">
        <v>0.68874053323182916</v>
      </c>
      <c r="H9" s="21">
        <v>0.1380766975788634</v>
      </c>
      <c r="I9" s="21">
        <v>9.6554340697742658E-2</v>
      </c>
      <c r="J9" s="22">
        <v>1.4750000000000001</v>
      </c>
      <c r="K9" s="21">
        <v>0.83418053244384316</v>
      </c>
      <c r="L9" s="22">
        <v>0.67361284604696525</v>
      </c>
      <c r="M9" s="22">
        <v>0.10786984385486686</v>
      </c>
      <c r="N9" s="22">
        <v>7.0418057949514806E-2</v>
      </c>
      <c r="O9" s="22">
        <v>1.49</v>
      </c>
      <c r="P9" s="21">
        <v>0.99830839814258254</v>
      </c>
      <c r="Q9" s="22">
        <v>0.79517733091742171</v>
      </c>
      <c r="R9" s="21">
        <v>8.6374787918231069E-2</v>
      </c>
      <c r="S9" s="21">
        <v>6.4758195421087114E-2</v>
      </c>
      <c r="T9" s="22">
        <v>1.405</v>
      </c>
      <c r="U9" s="21">
        <v>8.2193269583068343E-2</v>
      </c>
      <c r="V9" s="22">
        <v>1.4430357670336031E-2</v>
      </c>
    </row>
    <row r="10" spans="1:22" x14ac:dyDescent="0.25">
      <c r="A10" s="3"/>
      <c r="B10" s="3" t="s">
        <v>2</v>
      </c>
      <c r="C10" s="22">
        <v>0.22501368165288504</v>
      </c>
      <c r="D10" s="22">
        <v>0.12955332710650949</v>
      </c>
      <c r="E10" s="22">
        <v>1.4650000000000001</v>
      </c>
      <c r="F10" s="21"/>
      <c r="G10" s="22"/>
      <c r="H10" s="21">
        <v>0.13700574335546606</v>
      </c>
      <c r="I10" s="21">
        <v>9.6038521635141233E-2</v>
      </c>
      <c r="J10" s="22">
        <v>1.5249999999999999</v>
      </c>
      <c r="K10" s="21"/>
      <c r="L10" s="22"/>
      <c r="M10" s="22">
        <v>0.10788495483216706</v>
      </c>
      <c r="N10" s="22">
        <v>8.1180849973720604E-2</v>
      </c>
      <c r="O10" s="22">
        <v>1.51</v>
      </c>
      <c r="P10" s="21"/>
      <c r="Q10" s="22"/>
      <c r="R10" s="21">
        <v>9.6483805542107282E-2</v>
      </c>
      <c r="S10" s="21">
        <v>6.8072552428281169E-2</v>
      </c>
      <c r="T10" s="22">
        <v>1.595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0.22405836473435389</v>
      </c>
      <c r="D11" s="21">
        <v>0.1177319021670907</v>
      </c>
      <c r="E11" s="21">
        <v>1.42</v>
      </c>
      <c r="F11" s="22">
        <v>0.10076069152649672</v>
      </c>
      <c r="G11" s="21">
        <v>7.9803644678328678E-2</v>
      </c>
      <c r="H11" s="22">
        <v>0.21449140547690757</v>
      </c>
      <c r="I11" s="22">
        <v>0.12603978526778209</v>
      </c>
      <c r="J11" s="21">
        <v>1.5149999999999999</v>
      </c>
      <c r="K11" s="22">
        <v>0.42222002517076507</v>
      </c>
      <c r="L11" s="21">
        <v>0.85945047669451602</v>
      </c>
      <c r="M11" s="21">
        <v>0.21293158327718234</v>
      </c>
      <c r="N11" s="21">
        <v>0.1654214337126467</v>
      </c>
      <c r="O11" s="21">
        <v>1.56</v>
      </c>
      <c r="P11" s="22">
        <v>0.17547518358630437</v>
      </c>
      <c r="Q11" s="21">
        <v>3.3453006877238498E-2</v>
      </c>
      <c r="R11" s="22">
        <v>0.17144602893149077</v>
      </c>
      <c r="S11" s="22">
        <v>0.11780337433290508</v>
      </c>
      <c r="T11" s="21">
        <v>1.47</v>
      </c>
      <c r="U11" s="22">
        <v>0.94781749637203316</v>
      </c>
      <c r="V11" s="21">
        <v>0.69381125830990209</v>
      </c>
    </row>
    <row r="12" spans="1:22" x14ac:dyDescent="0.25">
      <c r="A12" s="3"/>
      <c r="B12" s="3" t="s">
        <v>2</v>
      </c>
      <c r="C12" s="21">
        <v>0.22428426379655877</v>
      </c>
      <c r="D12" s="21">
        <v>0.11798366011670983</v>
      </c>
      <c r="E12" s="21">
        <v>1.58</v>
      </c>
      <c r="F12" s="22"/>
      <c r="G12" s="21"/>
      <c r="H12" s="22">
        <v>0.21417790011940435</v>
      </c>
      <c r="I12" s="22">
        <v>0.12552701284495105</v>
      </c>
      <c r="J12" s="21">
        <v>1.4850000000000001</v>
      </c>
      <c r="K12" s="22"/>
      <c r="L12" s="21"/>
      <c r="M12" s="21">
        <v>0.20980726511697567</v>
      </c>
      <c r="N12" s="21">
        <v>0.1629990399083906</v>
      </c>
      <c r="O12" s="21">
        <v>1.44</v>
      </c>
      <c r="P12" s="22"/>
      <c r="Q12" s="21"/>
      <c r="R12" s="22">
        <v>0.17188213038056654</v>
      </c>
      <c r="S12" s="22">
        <v>0.11331799711073388</v>
      </c>
      <c r="T12" s="21">
        <v>1.53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0.2573672352141832</v>
      </c>
      <c r="D13" s="22">
        <v>0.13593588998270162</v>
      </c>
      <c r="E13" s="22">
        <v>1.51</v>
      </c>
      <c r="F13" s="21">
        <v>0.75091699732651052</v>
      </c>
      <c r="G13" s="22">
        <v>0.75567260576137263</v>
      </c>
      <c r="H13" s="21">
        <v>0.22789094345421262</v>
      </c>
      <c r="I13" s="21">
        <v>0.13448333122098144</v>
      </c>
      <c r="J13" s="22">
        <v>1.52</v>
      </c>
      <c r="K13" s="21">
        <v>7.2952676995224286E-2</v>
      </c>
      <c r="L13" s="22">
        <v>0.34350707508660272</v>
      </c>
      <c r="M13" s="22">
        <v>0.29045200417672423</v>
      </c>
      <c r="N13" s="22">
        <v>0.46712577302936753</v>
      </c>
      <c r="O13" s="22">
        <v>1.59</v>
      </c>
      <c r="P13" s="21">
        <v>0.53651125629322916</v>
      </c>
      <c r="Q13" s="22">
        <v>9.6426575500050099E-2</v>
      </c>
      <c r="R13" s="21">
        <v>0.18752762687445446</v>
      </c>
      <c r="S13" s="21">
        <v>0.17719896517919639</v>
      </c>
      <c r="T13" s="22">
        <v>1.4750000000000001</v>
      </c>
      <c r="U13" s="21">
        <v>0.10955252790779482</v>
      </c>
      <c r="V13" s="22">
        <v>0.45871829789704216</v>
      </c>
    </row>
    <row r="14" spans="1:22" x14ac:dyDescent="0.25">
      <c r="A14" s="3"/>
      <c r="B14" s="3" t="s">
        <v>2</v>
      </c>
      <c r="C14" s="22">
        <v>0.25714207780165954</v>
      </c>
      <c r="D14" s="22">
        <v>0.13564192301098457</v>
      </c>
      <c r="E14" s="22">
        <v>1.49</v>
      </c>
      <c r="F14" s="21"/>
      <c r="G14" s="22"/>
      <c r="H14" s="21">
        <v>0.22924484023566677</v>
      </c>
      <c r="I14" s="21">
        <v>0.13652886735006836</v>
      </c>
      <c r="J14" s="22">
        <v>1.48</v>
      </c>
      <c r="K14" s="21"/>
      <c r="L14" s="22"/>
      <c r="M14" s="22">
        <v>0.30089296701993146</v>
      </c>
      <c r="N14" s="22">
        <v>0.54541670525326824</v>
      </c>
      <c r="O14" s="22">
        <v>1.41</v>
      </c>
      <c r="P14" s="21"/>
      <c r="Q14" s="22"/>
      <c r="R14" s="21">
        <v>0.22551177325945951</v>
      </c>
      <c r="S14" s="21">
        <v>0.28680498311844144</v>
      </c>
      <c r="T14" s="22">
        <v>1.5249999999999999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0.21408678225525565</v>
      </c>
      <c r="D15" s="21">
        <v>0.13197140932876369</v>
      </c>
      <c r="E15" s="21">
        <v>1.53</v>
      </c>
      <c r="F15" s="22">
        <v>0.16348618082458019</v>
      </c>
      <c r="G15" s="21">
        <v>0.68621038874083629</v>
      </c>
      <c r="H15" s="22">
        <v>0.19118229314138088</v>
      </c>
      <c r="I15" s="22">
        <v>0.10036169166099555</v>
      </c>
      <c r="J15" s="21">
        <v>1.425</v>
      </c>
      <c r="K15" s="22">
        <v>0.64323472547631977</v>
      </c>
      <c r="L15" s="21">
        <v>4.1286046823616925E-2</v>
      </c>
      <c r="M15" s="21">
        <v>0.1735574702890024</v>
      </c>
      <c r="N15" s="21">
        <v>0.12395157364847796</v>
      </c>
      <c r="O15" s="21">
        <v>1.53</v>
      </c>
      <c r="P15" s="22">
        <v>0.66996462389458489</v>
      </c>
      <c r="Q15" s="21">
        <v>0.89740735552547335</v>
      </c>
      <c r="R15" s="22">
        <v>0.12724892042095154</v>
      </c>
      <c r="S15" s="22">
        <v>7.1458842476806964E-2</v>
      </c>
      <c r="T15" s="21">
        <v>1.48</v>
      </c>
      <c r="U15" s="22">
        <v>0.21316538956947972</v>
      </c>
      <c r="V15" s="21">
        <v>0.22682763319734028</v>
      </c>
    </row>
    <row r="16" spans="1:22" x14ac:dyDescent="0.25">
      <c r="A16" s="3"/>
      <c r="B16" s="3" t="s">
        <v>2</v>
      </c>
      <c r="C16" s="21">
        <v>0.20219946427278643</v>
      </c>
      <c r="D16" s="21">
        <v>0.11471278014372956</v>
      </c>
      <c r="E16" s="21">
        <v>1.47</v>
      </c>
      <c r="F16" s="22"/>
      <c r="G16" s="21"/>
      <c r="H16" s="22">
        <v>0.18982578890507568</v>
      </c>
      <c r="I16" s="22">
        <v>9.6814285184011126E-2</v>
      </c>
      <c r="J16" s="21">
        <v>1.575</v>
      </c>
      <c r="K16" s="22"/>
      <c r="L16" s="21"/>
      <c r="M16" s="21">
        <v>0.17568950428186209</v>
      </c>
      <c r="N16" s="21">
        <v>0.11488946136569454</v>
      </c>
      <c r="O16" s="21">
        <v>1.47</v>
      </c>
      <c r="P16" s="22"/>
      <c r="Q16" s="21"/>
      <c r="R16" s="22">
        <v>0.13242865329784331</v>
      </c>
      <c r="S16" s="22">
        <v>7.8719537719779367E-2</v>
      </c>
      <c r="T16" s="21">
        <v>1.52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0.149898357248757</v>
      </c>
      <c r="D17" s="22">
        <v>6.6215180428167889E-2</v>
      </c>
      <c r="E17" s="22">
        <v>1.585</v>
      </c>
      <c r="F17" s="21">
        <v>0.22156172901848808</v>
      </c>
      <c r="G17" s="22">
        <v>0.19429845899680276</v>
      </c>
      <c r="H17" s="21">
        <v>7.5073040712232905E-2</v>
      </c>
      <c r="I17" s="21">
        <v>6.9022287687444187E-2</v>
      </c>
      <c r="J17" s="22">
        <v>1.42</v>
      </c>
      <c r="K17" s="21">
        <v>0.29943397258191062</v>
      </c>
      <c r="L17" s="22">
        <v>5.3957067641187281E-2</v>
      </c>
      <c r="M17" s="22">
        <v>5.0860206464019668E-2</v>
      </c>
      <c r="N17" s="22">
        <v>4.3498923668246238E-2</v>
      </c>
      <c r="O17" s="22">
        <v>1.44</v>
      </c>
      <c r="P17" s="21">
        <v>0.32911987355938738</v>
      </c>
      <c r="Q17" s="22">
        <v>0.31455508332170296</v>
      </c>
      <c r="R17" s="21">
        <v>4.2369319791313698E-2</v>
      </c>
      <c r="S17" s="21">
        <v>4.4070929852218249E-2</v>
      </c>
      <c r="T17" s="22">
        <v>1.5</v>
      </c>
      <c r="U17" s="21">
        <v>0.92536961043306609</v>
      </c>
      <c r="V17" s="22">
        <v>0.89196845656477985</v>
      </c>
    </row>
    <row r="18" spans="1:22" x14ac:dyDescent="0.25">
      <c r="A18" s="3"/>
      <c r="B18" s="3" t="s">
        <v>2</v>
      </c>
      <c r="C18" s="22">
        <v>0.1495970559557914</v>
      </c>
      <c r="D18" s="22">
        <v>6.6223431192374532E-2</v>
      </c>
      <c r="E18" s="22">
        <v>1.415</v>
      </c>
      <c r="F18" s="21"/>
      <c r="G18" s="22"/>
      <c r="H18" s="21">
        <v>7.6584732237100203E-2</v>
      </c>
      <c r="I18" s="21">
        <v>6.8447828108099268E-2</v>
      </c>
      <c r="J18" s="22">
        <v>1.58</v>
      </c>
      <c r="K18" s="21"/>
      <c r="L18" s="22"/>
      <c r="M18" s="22">
        <v>5.5675084800859941E-2</v>
      </c>
      <c r="N18" s="22">
        <v>4.9256752113097602E-2</v>
      </c>
      <c r="O18" s="22">
        <v>1.56</v>
      </c>
      <c r="P18" s="21"/>
      <c r="Q18" s="22"/>
      <c r="R18" s="21">
        <v>4.2742538119063485E-2</v>
      </c>
      <c r="S18" s="21">
        <v>4.5520181426930671E-2</v>
      </c>
      <c r="T18" s="22">
        <v>1.5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0.17972226011668124</v>
      </c>
      <c r="D19" s="21">
        <v>8.310147024217672E-2</v>
      </c>
      <c r="E19" s="21">
        <v>1.39</v>
      </c>
      <c r="F19" s="22">
        <v>0.91529426916011325</v>
      </c>
      <c r="G19" s="21">
        <v>0.12728477327677992</v>
      </c>
      <c r="H19" s="22">
        <v>0.168055837171209</v>
      </c>
      <c r="I19" s="22">
        <v>0.1264387570043643</v>
      </c>
      <c r="J19" s="21">
        <v>1.4650000000000001</v>
      </c>
      <c r="K19" s="22">
        <v>0.66458631097102483</v>
      </c>
      <c r="L19" s="21">
        <v>0.65612965468671258</v>
      </c>
      <c r="M19" s="21">
        <v>0.10846373678645538</v>
      </c>
      <c r="N19" s="21">
        <v>8.9695130226378275E-2</v>
      </c>
      <c r="O19" s="21">
        <v>1.49</v>
      </c>
      <c r="P19" s="22">
        <v>0.86024576067715097</v>
      </c>
      <c r="Q19" s="21">
        <v>0.81113382623354402</v>
      </c>
      <c r="R19" s="22">
        <v>6.0431850280324877E-2</v>
      </c>
      <c r="S19" s="22">
        <v>6.0551129422374492E-2</v>
      </c>
      <c r="T19" s="21">
        <v>1.3149999999999999</v>
      </c>
      <c r="U19" s="22">
        <v>4.4769101622641018E-5</v>
      </c>
      <c r="V19" s="21">
        <v>2.5511222878407374E-5</v>
      </c>
    </row>
    <row r="20" spans="1:22" x14ac:dyDescent="0.25">
      <c r="A20" s="3"/>
      <c r="B20" s="3" t="s">
        <v>2</v>
      </c>
      <c r="C20" s="21">
        <v>0.18022375407270597</v>
      </c>
      <c r="D20" s="21">
        <v>8.138696880625361E-2</v>
      </c>
      <c r="E20" s="21">
        <v>1.61</v>
      </c>
      <c r="F20" s="22"/>
      <c r="G20" s="21"/>
      <c r="H20" s="22">
        <v>0.17204514443262775</v>
      </c>
      <c r="I20" s="22">
        <v>0.13469753437661425</v>
      </c>
      <c r="J20" s="21">
        <v>1.5349999999999999</v>
      </c>
      <c r="K20" s="22"/>
      <c r="L20" s="21"/>
      <c r="M20" s="21">
        <v>0.10718109695799577</v>
      </c>
      <c r="N20" s="21">
        <v>9.0891907160299906E-2</v>
      </c>
      <c r="O20" s="21">
        <v>1.51</v>
      </c>
      <c r="P20" s="22"/>
      <c r="Q20" s="21"/>
      <c r="R20" s="22">
        <v>7.8895875503238053E-2</v>
      </c>
      <c r="S20" s="22">
        <v>6.9544779363284598E-2</v>
      </c>
      <c r="T20" s="21">
        <v>1.6850000000000001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0.17376681913741712</v>
      </c>
      <c r="D21" s="22">
        <v>8.0901238079936919E-2</v>
      </c>
      <c r="E21" s="22">
        <v>1.46</v>
      </c>
      <c r="F21" s="21">
        <v>5.0111859039431307E-2</v>
      </c>
      <c r="G21" s="22">
        <v>7.7466370206560276E-2</v>
      </c>
      <c r="H21" s="21">
        <v>0.1741411635644286</v>
      </c>
      <c r="I21" s="21">
        <v>9.5642803468700174E-2</v>
      </c>
      <c r="J21" s="22">
        <v>1.42</v>
      </c>
      <c r="K21" s="21">
        <v>6.347117429636584E-2</v>
      </c>
      <c r="L21" s="22">
        <v>0.31290349694263137</v>
      </c>
      <c r="M21" s="22">
        <v>0.14442876434770482</v>
      </c>
      <c r="N21" s="22">
        <v>0.10613318013215807</v>
      </c>
      <c r="O21" s="22">
        <v>1.585</v>
      </c>
      <c r="P21" s="21">
        <v>0.97540025863398072</v>
      </c>
      <c r="Q21" s="22">
        <v>0.11893004837437247</v>
      </c>
      <c r="R21" s="21">
        <v>0.10881371820706986</v>
      </c>
      <c r="S21" s="21">
        <v>7.0031042679711372E-2</v>
      </c>
      <c r="T21" s="22">
        <v>1.42</v>
      </c>
      <c r="U21" s="21">
        <v>0.82514263062141746</v>
      </c>
      <c r="V21" s="22">
        <v>0.25436768118364145</v>
      </c>
    </row>
    <row r="22" spans="1:22" x14ac:dyDescent="0.25">
      <c r="A22" s="3"/>
      <c r="B22" s="3" t="s">
        <v>2</v>
      </c>
      <c r="C22" s="22">
        <v>0.17398633117217213</v>
      </c>
      <c r="D22" s="22">
        <v>8.1055839983606992E-2</v>
      </c>
      <c r="E22" s="22">
        <v>1.54</v>
      </c>
      <c r="F22" s="21"/>
      <c r="G22" s="22"/>
      <c r="H22" s="21">
        <v>0.17713778653371634</v>
      </c>
      <c r="I22" s="21">
        <v>9.7626083292530322E-2</v>
      </c>
      <c r="J22" s="22">
        <v>1.58</v>
      </c>
      <c r="K22" s="21"/>
      <c r="L22" s="22"/>
      <c r="M22" s="22">
        <v>0.14460558311094415</v>
      </c>
      <c r="N22" s="22">
        <v>0.10537155145468975</v>
      </c>
      <c r="O22" s="22">
        <v>1.415</v>
      </c>
      <c r="P22" s="21"/>
      <c r="Q22" s="22"/>
      <c r="R22" s="21">
        <v>0.10936475330447806</v>
      </c>
      <c r="S22" s="21">
        <v>6.9638040313127592E-2</v>
      </c>
      <c r="T22" s="22">
        <v>1.58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0.22180685016017929</v>
      </c>
      <c r="D23" s="21">
        <v>0.11927411375070068</v>
      </c>
      <c r="E23" s="21">
        <v>1.4650000000000001</v>
      </c>
      <c r="F23" s="22">
        <v>0.60365682565992296</v>
      </c>
      <c r="G23" s="21">
        <v>0.89740735552547335</v>
      </c>
      <c r="H23" s="22">
        <v>0.11832227302572412</v>
      </c>
      <c r="I23" s="22">
        <v>8.5928120309027523E-2</v>
      </c>
      <c r="J23" s="21">
        <v>1.5249999999999999</v>
      </c>
      <c r="K23" s="22">
        <v>0.2889990213656724</v>
      </c>
      <c r="L23" s="21">
        <v>0.67361284604696525</v>
      </c>
      <c r="M23" s="21">
        <v>0.10889551151318494</v>
      </c>
      <c r="N23" s="21">
        <v>8.1509001413575727E-2</v>
      </c>
      <c r="O23" s="21">
        <v>1.54</v>
      </c>
      <c r="P23" s="22">
        <v>0.89950593496297104</v>
      </c>
      <c r="Q23" s="21">
        <v>0.57166271107755806</v>
      </c>
      <c r="R23" s="22">
        <v>9.992285900831066E-2</v>
      </c>
      <c r="S23" s="22">
        <v>7.4322328296794846E-2</v>
      </c>
      <c r="T23" s="21">
        <v>1.605</v>
      </c>
      <c r="U23" s="22">
        <v>0.57416838489888578</v>
      </c>
      <c r="V23" s="21">
        <v>0.18161818342221775</v>
      </c>
    </row>
    <row r="24" spans="1:22" x14ac:dyDescent="0.25">
      <c r="A24" s="3"/>
      <c r="B24" s="3" t="s">
        <v>2</v>
      </c>
      <c r="C24" s="21">
        <v>0.22073889149426809</v>
      </c>
      <c r="D24" s="21">
        <v>0.12107336259851351</v>
      </c>
      <c r="E24" s="21">
        <v>1.5349999999999999</v>
      </c>
      <c r="F24" s="22"/>
      <c r="G24" s="21"/>
      <c r="H24" s="22">
        <v>0.1155977860937856</v>
      </c>
      <c r="I24" s="22">
        <v>8.3426573441632471E-2</v>
      </c>
      <c r="J24" s="21">
        <v>1.4750000000000001</v>
      </c>
      <c r="K24" s="22"/>
      <c r="L24" s="21"/>
      <c r="M24" s="21">
        <v>0.10793913362559937</v>
      </c>
      <c r="N24" s="21">
        <v>7.1375312843568614E-2</v>
      </c>
      <c r="O24" s="21">
        <v>1.46</v>
      </c>
      <c r="P24" s="22"/>
      <c r="Q24" s="21"/>
      <c r="R24" s="22">
        <v>9.6634310997949391E-2</v>
      </c>
      <c r="S24" s="22">
        <v>7.3360954335611447E-2</v>
      </c>
      <c r="T24" s="21">
        <v>1.395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0.23450037640896185</v>
      </c>
      <c r="D25" s="22">
        <v>0.11465017163766252</v>
      </c>
      <c r="E25" s="22">
        <v>1.4</v>
      </c>
      <c r="F25" s="21">
        <v>0.58976730468718153</v>
      </c>
      <c r="G25" s="22">
        <v>7.186647194786111E-2</v>
      </c>
      <c r="H25" s="21">
        <v>0.12187918058766023</v>
      </c>
      <c r="I25" s="21">
        <v>8.2759279399652122E-2</v>
      </c>
      <c r="J25" s="22">
        <v>1.5149999999999999</v>
      </c>
      <c r="K25" s="21">
        <v>0.47755698022452131</v>
      </c>
      <c r="L25" s="22">
        <v>0.78987712588377312</v>
      </c>
      <c r="M25" s="22">
        <v>0.11120653677904339</v>
      </c>
      <c r="N25" s="22">
        <v>8.9673193276696914E-2</v>
      </c>
      <c r="O25" s="22">
        <v>1.4550000000000001</v>
      </c>
      <c r="P25" s="21">
        <v>0.80608938169593447</v>
      </c>
      <c r="Q25" s="22">
        <v>0.44630537020073846</v>
      </c>
      <c r="R25" s="21">
        <v>0.10446449269127329</v>
      </c>
      <c r="S25" s="21">
        <v>7.7103892018160522E-2</v>
      </c>
      <c r="T25" s="22">
        <v>1.5</v>
      </c>
      <c r="U25" s="21">
        <v>0.45916770027956555</v>
      </c>
      <c r="V25" s="22">
        <v>0.6988957296826559</v>
      </c>
    </row>
    <row r="26" spans="1:22" x14ac:dyDescent="0.25">
      <c r="A26" s="3"/>
      <c r="B26" s="3" t="s">
        <v>2</v>
      </c>
      <c r="C26" s="22">
        <v>0.23472213513041384</v>
      </c>
      <c r="D26" s="22">
        <v>0.1147403721436055</v>
      </c>
      <c r="E26" s="22">
        <v>1.6</v>
      </c>
      <c r="F26" s="21"/>
      <c r="G26" s="22"/>
      <c r="H26" s="21">
        <v>0.12403841980039297</v>
      </c>
      <c r="I26" s="21">
        <v>8.4382831193322169E-2</v>
      </c>
      <c r="J26" s="22">
        <v>1.4850000000000001</v>
      </c>
      <c r="K26" s="21"/>
      <c r="L26" s="22"/>
      <c r="M26" s="22">
        <v>0.11286516883932021</v>
      </c>
      <c r="N26" s="22">
        <v>8.8309368678410868E-2</v>
      </c>
      <c r="O26" s="22">
        <v>1.5449999999999999</v>
      </c>
      <c r="P26" s="21"/>
      <c r="Q26" s="22"/>
      <c r="R26" s="21">
        <v>9.9503335130174786E-2</v>
      </c>
      <c r="S26" s="21">
        <v>8.1324896539087005E-2</v>
      </c>
      <c r="T26" s="22">
        <v>1.5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0.22906175770719386</v>
      </c>
      <c r="D27" s="21">
        <v>0.12015259663192264</v>
      </c>
      <c r="E27" s="21">
        <v>1.39</v>
      </c>
      <c r="F27" s="22">
        <v>0.42380338196886991</v>
      </c>
      <c r="G27" s="21">
        <v>9.3702282270714352E-2</v>
      </c>
      <c r="H27" s="22">
        <v>0.11998380822562399</v>
      </c>
      <c r="I27" s="22">
        <v>8.2006247649210981E-2</v>
      </c>
      <c r="J27" s="21">
        <v>1.5049999999999999</v>
      </c>
      <c r="K27" s="22">
        <v>0.25469095085069732</v>
      </c>
      <c r="L27" s="21">
        <v>0.88110614232260454</v>
      </c>
      <c r="M27" s="21">
        <v>0.10906557460730103</v>
      </c>
      <c r="N27" s="21">
        <v>8.0098130126913775E-2</v>
      </c>
      <c r="O27" s="21">
        <v>1.5149999999999999</v>
      </c>
      <c r="P27" s="22">
        <v>0.53136849250119422</v>
      </c>
      <c r="Q27" s="21">
        <v>0.48626552955058333</v>
      </c>
      <c r="R27" s="22">
        <v>9.6141138434548898E-2</v>
      </c>
      <c r="S27" s="22">
        <v>6.3510889375074944E-2</v>
      </c>
      <c r="T27" s="21">
        <v>1.54</v>
      </c>
      <c r="U27" s="22">
        <v>0.68759429102563518</v>
      </c>
      <c r="V27" s="21">
        <v>0.32797372630556654</v>
      </c>
    </row>
    <row r="28" spans="1:22" x14ac:dyDescent="0.25">
      <c r="A28" s="3"/>
      <c r="B28" s="3" t="s">
        <v>2</v>
      </c>
      <c r="C28" s="21">
        <v>0.22821385297126653</v>
      </c>
      <c r="D28" s="21">
        <v>0.11892387941893255</v>
      </c>
      <c r="E28" s="21">
        <v>1.61</v>
      </c>
      <c r="F28" s="22"/>
      <c r="G28" s="21"/>
      <c r="H28" s="22">
        <v>0.11878639368885624</v>
      </c>
      <c r="I28" s="22">
        <v>8.0869931493866065E-2</v>
      </c>
      <c r="J28" s="21">
        <v>1.4950000000000001</v>
      </c>
      <c r="K28" s="22"/>
      <c r="L28" s="21"/>
      <c r="M28" s="21">
        <v>0.10576697023315944</v>
      </c>
      <c r="N28" s="21">
        <v>7.2344525673623622E-2</v>
      </c>
      <c r="O28" s="21">
        <v>1.4850000000000001</v>
      </c>
      <c r="P28" s="22"/>
      <c r="Q28" s="21"/>
      <c r="R28" s="22">
        <v>9.4194520128058248E-2</v>
      </c>
      <c r="S28" s="22">
        <v>6.9667756121542662E-2</v>
      </c>
      <c r="T28" s="21">
        <v>1.46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0.22416835434951704</v>
      </c>
      <c r="D29" s="22">
        <v>0.11765234340313963</v>
      </c>
      <c r="E29" s="22">
        <v>1.415</v>
      </c>
      <c r="F29" s="21">
        <v>0.87611448694845018</v>
      </c>
      <c r="G29" s="22">
        <v>0.12305204238463287</v>
      </c>
      <c r="H29" s="21">
        <v>0.11580843049764977</v>
      </c>
      <c r="I29" s="21">
        <v>8.2366049626166185E-2</v>
      </c>
      <c r="J29" s="22">
        <v>1.4950000000000001</v>
      </c>
      <c r="K29" s="21">
        <v>0.40288518149021124</v>
      </c>
      <c r="L29" s="22">
        <v>0.74263946610738707</v>
      </c>
      <c r="M29" s="22">
        <v>0.1043872021600938</v>
      </c>
      <c r="N29" s="22">
        <v>7.5792507138646589E-2</v>
      </c>
      <c r="O29" s="22">
        <v>1.4550000000000001</v>
      </c>
      <c r="P29" s="21">
        <v>0.11786203405359791</v>
      </c>
      <c r="Q29" s="22">
        <v>0.23081728935337326</v>
      </c>
      <c r="R29" s="21">
        <v>9.2474656889668966E-2</v>
      </c>
      <c r="S29" s="21">
        <v>6.9409804188322877E-2</v>
      </c>
      <c r="T29" s="22">
        <v>1.4950000000000001</v>
      </c>
      <c r="U29" s="21">
        <v>0.87793391965535461</v>
      </c>
      <c r="V29" s="22">
        <v>0.77140434038796801</v>
      </c>
    </row>
    <row r="30" spans="1:22" x14ac:dyDescent="0.25">
      <c r="A30" s="3"/>
      <c r="B30" s="3" t="s">
        <v>2</v>
      </c>
      <c r="C30" s="22">
        <v>0.22402645493952453</v>
      </c>
      <c r="D30" s="22">
        <v>0.11863337960298527</v>
      </c>
      <c r="E30" s="22">
        <v>1.585</v>
      </c>
      <c r="F30" s="21"/>
      <c r="G30" s="22"/>
      <c r="H30" s="21">
        <v>0.11611385754065755</v>
      </c>
      <c r="I30" s="21">
        <v>8.2356255650352525E-2</v>
      </c>
      <c r="J30" s="22">
        <v>1.5049999999999999</v>
      </c>
      <c r="K30" s="21"/>
      <c r="L30" s="22"/>
      <c r="M30" s="22">
        <v>0.11382941122987585</v>
      </c>
      <c r="N30" s="22">
        <v>7.7228557543713369E-2</v>
      </c>
      <c r="O30" s="22">
        <v>1.5449999999999999</v>
      </c>
      <c r="P30" s="21"/>
      <c r="Q30" s="22"/>
      <c r="R30" s="21">
        <v>9.3518137671952106E-2</v>
      </c>
      <c r="S30" s="21">
        <v>6.906302772499491E-2</v>
      </c>
      <c r="T30" s="22">
        <v>1.5049999999999999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0.2236574312048398</v>
      </c>
      <c r="D31" s="21">
        <v>0.11876952839953732</v>
      </c>
      <c r="E31" s="21">
        <v>1.4750000000000001</v>
      </c>
      <c r="F31" s="22">
        <v>0.74729266298900032</v>
      </c>
      <c r="G31" s="21">
        <v>0.49927506118435261</v>
      </c>
      <c r="H31" s="22">
        <v>0.11521871717573955</v>
      </c>
      <c r="I31" s="22">
        <v>8.1446245489474378E-2</v>
      </c>
      <c r="J31" s="21">
        <v>1.4750000000000001</v>
      </c>
      <c r="K31" s="22">
        <v>0.14196787043339576</v>
      </c>
      <c r="L31" s="21">
        <v>0.37042176020855827</v>
      </c>
      <c r="M31" s="21">
        <v>0.1131283585352133</v>
      </c>
      <c r="N31" s="21">
        <v>7.5113772933808734E-2</v>
      </c>
      <c r="O31" s="21">
        <v>1.4450000000000001</v>
      </c>
      <c r="P31" s="22">
        <v>0.65476948755506814</v>
      </c>
      <c r="Q31" s="21">
        <v>0.88653463484059791</v>
      </c>
      <c r="R31" s="22">
        <v>0.10158105334529752</v>
      </c>
      <c r="S31" s="22">
        <v>7.2895900678732709E-2</v>
      </c>
      <c r="T31" s="21">
        <v>1.5649999999999999</v>
      </c>
      <c r="U31" s="22">
        <v>0.2054816686693621</v>
      </c>
      <c r="V31" s="21">
        <v>8.9731961497791557E-2</v>
      </c>
    </row>
    <row r="32" spans="1:22" x14ac:dyDescent="0.25">
      <c r="A32" s="3"/>
      <c r="B32" s="3" t="s">
        <v>2</v>
      </c>
      <c r="C32" s="21">
        <v>0.2238847889510133</v>
      </c>
      <c r="D32" s="21">
        <v>0.11862636095707861</v>
      </c>
      <c r="E32" s="21">
        <v>1.5249999999999999</v>
      </c>
      <c r="F32" s="22"/>
      <c r="G32" s="21"/>
      <c r="H32" s="22">
        <v>0.11654374856030754</v>
      </c>
      <c r="I32" s="22">
        <v>8.2741913246780249E-2</v>
      </c>
      <c r="J32" s="21">
        <v>1.5249999999999999</v>
      </c>
      <c r="K32" s="22"/>
      <c r="L32" s="21"/>
      <c r="M32" s="21">
        <v>0.11591698501109997</v>
      </c>
      <c r="N32" s="21">
        <v>8.6573375501428088E-2</v>
      </c>
      <c r="O32" s="21">
        <v>1.5549999999999999</v>
      </c>
      <c r="P32" s="22"/>
      <c r="Q32" s="21"/>
      <c r="R32" s="22">
        <v>9.5388641038331487E-2</v>
      </c>
      <c r="S32" s="22">
        <v>6.5409247038013138E-2</v>
      </c>
      <c r="T32" s="21">
        <v>1.4350000000000001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0.22606039563820127</v>
      </c>
      <c r="D33" s="22">
        <v>0.11579822357350536</v>
      </c>
      <c r="E33" s="22">
        <v>1.46</v>
      </c>
      <c r="F33" s="21">
        <v>0.41253346133971336</v>
      </c>
      <c r="G33" s="22">
        <v>0.20269908719330521</v>
      </c>
      <c r="H33" s="21">
        <v>0.12070652680646277</v>
      </c>
      <c r="I33" s="21">
        <v>8.4868531817967052E-2</v>
      </c>
      <c r="J33" s="22">
        <v>1.5349999999999999</v>
      </c>
      <c r="K33" s="21">
        <v>0.16457123177458097</v>
      </c>
      <c r="L33" s="22">
        <v>0.4220621027365421</v>
      </c>
      <c r="M33" s="22">
        <v>0.11367391158027872</v>
      </c>
      <c r="N33" s="22">
        <v>8.4693960836512538E-2</v>
      </c>
      <c r="O33" s="22">
        <v>1.43</v>
      </c>
      <c r="P33" s="21">
        <v>0.93241544919395525</v>
      </c>
      <c r="Q33" s="22">
        <v>0.61930333819353856</v>
      </c>
      <c r="R33" s="21">
        <v>9.2193782107184E-2</v>
      </c>
      <c r="S33" s="21">
        <v>7.1101398980957284E-2</v>
      </c>
      <c r="T33" s="22">
        <v>1.46</v>
      </c>
      <c r="U33" s="21">
        <v>0.40192800817634888</v>
      </c>
      <c r="V33" s="22">
        <v>0.37042176020855827</v>
      </c>
    </row>
    <row r="34" spans="1:22" x14ac:dyDescent="0.25">
      <c r="A34" s="3"/>
      <c r="B34" s="3" t="s">
        <v>2</v>
      </c>
      <c r="C34" s="22">
        <v>0.22677809944358984</v>
      </c>
      <c r="D34" s="22">
        <v>0.11568343753580351</v>
      </c>
      <c r="E34" s="22">
        <v>1.54</v>
      </c>
      <c r="F34" s="21"/>
      <c r="G34" s="22"/>
      <c r="H34" s="21">
        <v>0.11676854641564979</v>
      </c>
      <c r="I34" s="21">
        <v>8.0364696369348856E-2</v>
      </c>
      <c r="J34" s="22">
        <v>1.4650000000000001</v>
      </c>
      <c r="K34" s="21"/>
      <c r="L34" s="22"/>
      <c r="M34" s="22">
        <v>0.11311902403885535</v>
      </c>
      <c r="N34" s="22">
        <v>9.2937364161582534E-2</v>
      </c>
      <c r="O34" s="22">
        <v>1.57</v>
      </c>
      <c r="P34" s="21"/>
      <c r="Q34" s="22"/>
      <c r="R34" s="21">
        <v>9.6902639131386317E-2</v>
      </c>
      <c r="S34" s="21">
        <v>7.4140290167207995E-2</v>
      </c>
      <c r="T34" s="22">
        <v>1.54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0.13645529760654879</v>
      </c>
      <c r="D35" s="21">
        <v>6.0562346718000808E-2</v>
      </c>
      <c r="E35" s="21">
        <v>1.375</v>
      </c>
      <c r="F35" s="22">
        <v>0.10111877613362573</v>
      </c>
      <c r="G35" s="21">
        <v>2.0574010670135725E-2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  <c r="T35" s="18"/>
      <c r="U35" s="18"/>
      <c r="V35" s="10"/>
    </row>
    <row r="36" spans="1:22" x14ac:dyDescent="0.25">
      <c r="A36" s="3"/>
      <c r="B36" s="3" t="s">
        <v>2</v>
      </c>
      <c r="C36" s="21">
        <v>0.13664199022996884</v>
      </c>
      <c r="D36" s="21">
        <v>6.0334177184312734E-2</v>
      </c>
      <c r="E36" s="21">
        <v>1.625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0.20503649494490273</v>
      </c>
      <c r="D37" s="22">
        <v>0.10240622090655473</v>
      </c>
      <c r="E37" s="22">
        <v>1.4350000000000001</v>
      </c>
      <c r="F37" s="21">
        <v>0.42795688965486434</v>
      </c>
      <c r="G37" s="22">
        <v>0.58105034803348798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0.20474378049592801</v>
      </c>
      <c r="D38" s="22">
        <v>0.10246280249046813</v>
      </c>
      <c r="E38" s="22">
        <v>1.5649999999999999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0.16521028498027707</v>
      </c>
      <c r="D39" s="21">
        <v>7.7183601946104782E-2</v>
      </c>
      <c r="E39" s="21">
        <v>1.57</v>
      </c>
      <c r="F39" s="22">
        <v>0.52720425124337489</v>
      </c>
      <c r="G39" s="21">
        <v>0.17278930501630069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0.16596033632057292</v>
      </c>
      <c r="D40" s="21">
        <v>8.0122996056825366E-2</v>
      </c>
      <c r="E40" s="21">
        <v>1.43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0.13670569620542283</v>
      </c>
      <c r="D41" s="22">
        <v>6.0441129622937267E-2</v>
      </c>
      <c r="E41" s="22">
        <v>1.5349999999999999</v>
      </c>
      <c r="F41" s="21">
        <v>0.36763789766971855</v>
      </c>
      <c r="G41" s="22">
        <v>0.34702173140653142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0.13660043937269323</v>
      </c>
      <c r="D42" s="22">
        <v>6.0506186937745753E-2</v>
      </c>
      <c r="E42" s="22">
        <v>1.4650000000000001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8.4299754488321207E-2</v>
      </c>
      <c r="D43" s="21">
        <v>2.789231541089407E-2</v>
      </c>
      <c r="E43" s="21">
        <v>1.4650000000000001</v>
      </c>
      <c r="F43" s="22">
        <v>0.72782052123342877</v>
      </c>
      <c r="G43" s="21">
        <v>0.62173025430715034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8.403438559033935E-2</v>
      </c>
      <c r="D44" s="21">
        <v>2.8713137552110846E-2</v>
      </c>
      <c r="E44" s="21">
        <v>1.5349999999999999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0.19085458361909896</v>
      </c>
      <c r="D45" s="22">
        <v>9.3073450376819258E-2</v>
      </c>
      <c r="E45" s="22">
        <v>1.43</v>
      </c>
      <c r="F45" s="21">
        <v>0.38090741778630227</v>
      </c>
      <c r="G45" s="22">
        <v>0.14252694594066806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0.19104820459775781</v>
      </c>
      <c r="D46" s="22">
        <v>9.3147209234721848E-2</v>
      </c>
      <c r="E46" s="22">
        <v>1.57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1026-BB3F-4FD0-88E5-0297C278F08A}">
  <dimension ref="A1:V51"/>
  <sheetViews>
    <sheetView zoomScaleNormal="100" workbookViewId="0">
      <selection activeCell="Z21" sqref="Z21"/>
    </sheetView>
  </sheetViews>
  <sheetFormatPr defaultRowHeight="15" x14ac:dyDescent="0.25"/>
  <sheetData>
    <row r="1" spans="1:22" x14ac:dyDescent="0.25">
      <c r="A1" s="6" t="s">
        <v>39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0.17353153167027022</v>
      </c>
      <c r="D3" s="21">
        <v>8.0876444449583876E-2</v>
      </c>
      <c r="E3" s="21">
        <v>1.5</v>
      </c>
      <c r="F3" s="22">
        <v>5.9347993539719271E-2</v>
      </c>
      <c r="G3" s="21">
        <v>0.36130815790165782</v>
      </c>
      <c r="H3" s="22">
        <v>9.9556195869664327E-2</v>
      </c>
      <c r="I3" s="22">
        <v>7.3950089015432846E-2</v>
      </c>
      <c r="J3" s="21">
        <v>1.43</v>
      </c>
      <c r="K3" s="22">
        <v>0.10434675785525602</v>
      </c>
      <c r="L3" s="21">
        <v>0.73485457809672017</v>
      </c>
      <c r="M3" s="21">
        <v>0.10337034375065617</v>
      </c>
      <c r="N3" s="21">
        <v>0.11587192653656037</v>
      </c>
      <c r="O3" s="21">
        <v>1.54</v>
      </c>
      <c r="P3" s="22">
        <v>0.37660390055517218</v>
      </c>
      <c r="Q3" s="21">
        <v>0.47344152235542181</v>
      </c>
      <c r="R3" s="22">
        <v>7.9165883438900256E-2</v>
      </c>
      <c r="S3" s="22">
        <v>6.715164254133893E-2</v>
      </c>
      <c r="T3" s="21">
        <v>1.45</v>
      </c>
      <c r="U3" s="22">
        <v>0.59982220419340471</v>
      </c>
      <c r="V3" s="21">
        <v>0.31290349694263137</v>
      </c>
    </row>
    <row r="4" spans="1:22" x14ac:dyDescent="0.25">
      <c r="A4" s="4"/>
      <c r="B4" s="4" t="s">
        <v>2</v>
      </c>
      <c r="C4" s="21">
        <v>0.17376139901340637</v>
      </c>
      <c r="D4" s="21">
        <v>8.1116368848142481E-2</v>
      </c>
      <c r="E4" s="21">
        <v>1.5</v>
      </c>
      <c r="F4" s="22"/>
      <c r="G4" s="21"/>
      <c r="H4" s="22">
        <v>9.6373215340133905E-2</v>
      </c>
      <c r="I4" s="22">
        <v>7.2132392008757831E-2</v>
      </c>
      <c r="J4" s="21">
        <v>1.57</v>
      </c>
      <c r="K4" s="22"/>
      <c r="L4" s="21"/>
      <c r="M4" s="21">
        <v>9.3695270503958844E-2</v>
      </c>
      <c r="N4" s="21">
        <v>6.630728815659169E-2</v>
      </c>
      <c r="O4" s="21">
        <v>1.46</v>
      </c>
      <c r="P4" s="22"/>
      <c r="Q4" s="21"/>
      <c r="R4" s="22">
        <v>8.200579665750736E-2</v>
      </c>
      <c r="S4" s="22">
        <v>6.7312829273891678E-2</v>
      </c>
      <c r="T4" s="21">
        <v>1.55</v>
      </c>
      <c r="U4" s="22"/>
      <c r="V4" s="21"/>
    </row>
    <row r="5" spans="1:22" x14ac:dyDescent="0.25">
      <c r="A5" s="1" t="s">
        <v>1</v>
      </c>
      <c r="B5" s="1" t="s">
        <v>3</v>
      </c>
      <c r="C5" s="22">
        <v>0.22469264542464323</v>
      </c>
      <c r="D5" s="22">
        <v>0.11789851607027999</v>
      </c>
      <c r="E5" s="22">
        <v>1.48</v>
      </c>
      <c r="F5" s="21">
        <v>0.75756493974038686</v>
      </c>
      <c r="G5" s="22">
        <v>0.90285107903716766</v>
      </c>
      <c r="H5" s="21">
        <v>0.11918299501025405</v>
      </c>
      <c r="I5" s="21">
        <v>8.5332543655281964E-2</v>
      </c>
      <c r="J5" s="22">
        <v>1.355</v>
      </c>
      <c r="K5" s="21">
        <v>0.41671131890852225</v>
      </c>
      <c r="L5" s="22">
        <v>8.8373125213546001E-3</v>
      </c>
      <c r="M5" s="22">
        <v>0.11302787230220593</v>
      </c>
      <c r="N5" s="22">
        <v>7.6445948936191249E-2</v>
      </c>
      <c r="O5" s="22">
        <v>1.4450000000000001</v>
      </c>
      <c r="P5" s="21">
        <v>0.37993069734064394</v>
      </c>
      <c r="Q5" s="22">
        <v>0.29670215793117788</v>
      </c>
      <c r="R5" s="21">
        <v>0.10544502085223734</v>
      </c>
      <c r="S5" s="21">
        <v>7.3362697541017499E-2</v>
      </c>
      <c r="T5" s="22">
        <v>1.47</v>
      </c>
      <c r="U5" s="21">
        <v>0.4464456373251065</v>
      </c>
      <c r="V5" s="22">
        <v>0.56466965443405481</v>
      </c>
    </row>
    <row r="6" spans="1:22" x14ac:dyDescent="0.25">
      <c r="A6" s="3"/>
      <c r="B6" s="3" t="s">
        <v>2</v>
      </c>
      <c r="C6" s="22">
        <v>0.22461668476554422</v>
      </c>
      <c r="D6" s="22">
        <v>0.11797054772716214</v>
      </c>
      <c r="E6" s="22">
        <v>1.52</v>
      </c>
      <c r="F6" s="21"/>
      <c r="G6" s="22"/>
      <c r="H6" s="21">
        <v>0.11700818226571288</v>
      </c>
      <c r="I6" s="21">
        <v>8.2049931703292514E-2</v>
      </c>
      <c r="J6" s="22">
        <v>1.645</v>
      </c>
      <c r="K6" s="21"/>
      <c r="L6" s="22"/>
      <c r="M6" s="22">
        <v>0.11775024730200676</v>
      </c>
      <c r="N6" s="22">
        <v>7.6467296817238073E-2</v>
      </c>
      <c r="O6" s="22">
        <v>1.5549999999999999</v>
      </c>
      <c r="P6" s="21"/>
      <c r="Q6" s="22"/>
      <c r="R6" s="21">
        <v>0.10932455792961429</v>
      </c>
      <c r="S6" s="21">
        <v>7.2786967818417994E-2</v>
      </c>
      <c r="T6" s="22">
        <v>1.53</v>
      </c>
      <c r="U6" s="21"/>
      <c r="V6" s="22"/>
    </row>
    <row r="7" spans="1:22" x14ac:dyDescent="0.25">
      <c r="A7" s="1" t="s">
        <v>7</v>
      </c>
      <c r="B7" s="1" t="s">
        <v>3</v>
      </c>
      <c r="C7" s="21">
        <v>0.22734026010450792</v>
      </c>
      <c r="D7" s="21">
        <v>0.11959500398782434</v>
      </c>
      <c r="E7" s="21">
        <v>1.46</v>
      </c>
      <c r="F7" s="22">
        <v>0.2690434584850479</v>
      </c>
      <c r="G7" s="21">
        <v>0.2660100061662074</v>
      </c>
      <c r="H7" s="22">
        <v>0.12467247760841921</v>
      </c>
      <c r="I7" s="22">
        <v>8.3614155302594542E-2</v>
      </c>
      <c r="J7" s="21">
        <v>1.4350000000000001</v>
      </c>
      <c r="K7" s="22">
        <v>0.702189165225518</v>
      </c>
      <c r="L7" s="21">
        <v>0.20637924290702322</v>
      </c>
      <c r="M7" s="21">
        <v>0.34109210046905503</v>
      </c>
      <c r="N7" s="21">
        <v>0.50409948011473671</v>
      </c>
      <c r="O7" s="21">
        <v>1.51</v>
      </c>
      <c r="P7" s="22">
        <v>0.16191843239536052</v>
      </c>
      <c r="Q7" s="21">
        <v>0.34702173140653142</v>
      </c>
      <c r="R7" s="22">
        <v>0.9368839017327989</v>
      </c>
      <c r="S7" s="22">
        <v>1.0755039421349746</v>
      </c>
      <c r="T7" s="21">
        <v>1.61</v>
      </c>
      <c r="U7" s="22">
        <v>2.1496434275655812E-2</v>
      </c>
      <c r="V7" s="21">
        <v>4.2322923433444827E-2</v>
      </c>
    </row>
    <row r="8" spans="1:22" x14ac:dyDescent="0.25">
      <c r="A8" s="3"/>
      <c r="B8" s="3" t="s">
        <v>2</v>
      </c>
      <c r="C8" s="21">
        <v>0.22932955657755993</v>
      </c>
      <c r="D8" s="21">
        <v>0.12149999963147325</v>
      </c>
      <c r="E8" s="21">
        <v>1.54</v>
      </c>
      <c r="F8" s="22"/>
      <c r="G8" s="21"/>
      <c r="H8" s="22">
        <v>0.1235275895877449</v>
      </c>
      <c r="I8" s="22">
        <v>8.2724455084806858E-2</v>
      </c>
      <c r="J8" s="21">
        <v>1.5649999999999999</v>
      </c>
      <c r="K8" s="22"/>
      <c r="L8" s="21"/>
      <c r="M8" s="21">
        <v>0.28057521647322586</v>
      </c>
      <c r="N8" s="21">
        <v>0.4081661917158958</v>
      </c>
      <c r="O8" s="21">
        <v>1.49</v>
      </c>
      <c r="P8" s="22"/>
      <c r="Q8" s="21"/>
      <c r="R8" s="22">
        <v>0.76421707654371385</v>
      </c>
      <c r="S8" s="22">
        <v>0.96984891775562732</v>
      </c>
      <c r="T8" s="21">
        <v>1.39</v>
      </c>
      <c r="U8" s="22"/>
      <c r="V8" s="21"/>
    </row>
    <row r="9" spans="1:22" x14ac:dyDescent="0.25">
      <c r="A9" s="1" t="s">
        <v>8</v>
      </c>
      <c r="B9" s="1" t="s">
        <v>3</v>
      </c>
      <c r="C9" s="22">
        <v>0.22466836966999959</v>
      </c>
      <c r="D9" s="22">
        <v>0.12355651633184635</v>
      </c>
      <c r="E9" s="22">
        <v>1.53</v>
      </c>
      <c r="F9" s="21">
        <v>0.69754383321893421</v>
      </c>
      <c r="G9" s="22">
        <v>0.67612518136879873</v>
      </c>
      <c r="H9" s="21">
        <v>0.14211561873337306</v>
      </c>
      <c r="I9" s="21">
        <v>9.6716591846710276E-2</v>
      </c>
      <c r="J9" s="22">
        <v>1.425</v>
      </c>
      <c r="K9" s="21">
        <v>0.61395855243281217</v>
      </c>
      <c r="L9" s="22">
        <v>8.9731961497791557E-2</v>
      </c>
      <c r="M9" s="22">
        <v>0.1121287457572353</v>
      </c>
      <c r="N9" s="22">
        <v>7.052330893249685E-2</v>
      </c>
      <c r="O9" s="22">
        <v>1.4550000000000001</v>
      </c>
      <c r="P9" s="21">
        <v>0.8298975809610124</v>
      </c>
      <c r="Q9" s="22">
        <v>0.74004153223936253</v>
      </c>
      <c r="R9" s="21">
        <v>0.10152052724681457</v>
      </c>
      <c r="S9" s="21">
        <v>6.5732224103718526E-2</v>
      </c>
      <c r="T9" s="22">
        <v>1.42</v>
      </c>
      <c r="U9" s="21">
        <v>0.24526870910827975</v>
      </c>
      <c r="V9" s="22">
        <v>4.5939629829889514E-2</v>
      </c>
    </row>
    <row r="10" spans="1:22" x14ac:dyDescent="0.25">
      <c r="A10" s="3"/>
      <c r="B10" s="3" t="s">
        <v>2</v>
      </c>
      <c r="C10" s="22">
        <v>0.22689784174575242</v>
      </c>
      <c r="D10" s="22">
        <v>0.12906921319421163</v>
      </c>
      <c r="E10" s="22">
        <v>1.47</v>
      </c>
      <c r="F10" s="21"/>
      <c r="G10" s="22"/>
      <c r="H10" s="21">
        <v>0.13976407851421094</v>
      </c>
      <c r="I10" s="21">
        <v>9.5850929898012707E-2</v>
      </c>
      <c r="J10" s="22">
        <v>1.575</v>
      </c>
      <c r="K10" s="21"/>
      <c r="L10" s="22"/>
      <c r="M10" s="22">
        <v>0.11368201098423089</v>
      </c>
      <c r="N10" s="22">
        <v>8.2029947803457792E-2</v>
      </c>
      <c r="O10" s="22">
        <v>1.5449999999999999</v>
      </c>
      <c r="P10" s="21"/>
      <c r="Q10" s="22"/>
      <c r="R10" s="21">
        <v>0.1081717126010944</v>
      </c>
      <c r="S10" s="21">
        <v>7.0707053518001883E-2</v>
      </c>
      <c r="T10" s="22">
        <v>1.58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0.22438076505136936</v>
      </c>
      <c r="D11" s="21">
        <v>0.11790500561721307</v>
      </c>
      <c r="E11" s="21">
        <v>1.41</v>
      </c>
      <c r="F11" s="22">
        <v>7.8130733228102933E-2</v>
      </c>
      <c r="G11" s="21">
        <v>2.8137037716660544E-2</v>
      </c>
      <c r="H11" s="22">
        <v>0.21485714835577979</v>
      </c>
      <c r="I11" s="22">
        <v>0.12613521519309279</v>
      </c>
      <c r="J11" s="21">
        <v>1.51</v>
      </c>
      <c r="K11" s="22">
        <v>0.48602380591347755</v>
      </c>
      <c r="L11" s="21">
        <v>0.82449141451497809</v>
      </c>
      <c r="M11" s="21">
        <v>0.22934649828228204</v>
      </c>
      <c r="N11" s="21">
        <v>0.18309522254132587</v>
      </c>
      <c r="O11" s="21">
        <v>1.5349999999999999</v>
      </c>
      <c r="P11" s="22">
        <v>0.96445643558368244</v>
      </c>
      <c r="Q11" s="21">
        <v>0.18961431288250735</v>
      </c>
      <c r="R11" s="22">
        <v>0.18214505906328057</v>
      </c>
      <c r="S11" s="22">
        <v>0.15164750760467427</v>
      </c>
      <c r="T11" s="21">
        <v>1.49</v>
      </c>
      <c r="U11" s="22">
        <v>0.90878072668176157</v>
      </c>
      <c r="V11" s="21">
        <v>0.65612965468671258</v>
      </c>
    </row>
    <row r="12" spans="1:22" x14ac:dyDescent="0.25">
      <c r="A12" s="3"/>
      <c r="B12" s="3" t="s">
        <v>2</v>
      </c>
      <c r="C12" s="21">
        <v>0.2246107878534806</v>
      </c>
      <c r="D12" s="21">
        <v>0.11814680165741442</v>
      </c>
      <c r="E12" s="21">
        <v>1.59</v>
      </c>
      <c r="F12" s="22"/>
      <c r="G12" s="21"/>
      <c r="H12" s="22">
        <v>0.21459860807880504</v>
      </c>
      <c r="I12" s="22">
        <v>0.12603937993918243</v>
      </c>
      <c r="J12" s="21">
        <v>1.49</v>
      </c>
      <c r="K12" s="22"/>
      <c r="L12" s="21"/>
      <c r="M12" s="21">
        <v>0.22946923102515865</v>
      </c>
      <c r="N12" s="21">
        <v>0.18225105889823237</v>
      </c>
      <c r="O12" s="21">
        <v>1.4650000000000001</v>
      </c>
      <c r="P12" s="22"/>
      <c r="Q12" s="21"/>
      <c r="R12" s="22">
        <v>0.18296799011958192</v>
      </c>
      <c r="S12" s="22">
        <v>0.15059242906997594</v>
      </c>
      <c r="T12" s="21">
        <v>1.51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0.25792685909765783</v>
      </c>
      <c r="D13" s="22">
        <v>0.13547902023219463</v>
      </c>
      <c r="E13" s="22">
        <v>1.52</v>
      </c>
      <c r="F13" s="21">
        <v>0.61260793378732514</v>
      </c>
      <c r="G13" s="22">
        <v>0.71679667255676627</v>
      </c>
      <c r="H13" s="21">
        <v>0.22851694933122949</v>
      </c>
      <c r="I13" s="21">
        <v>0.13457441535926432</v>
      </c>
      <c r="J13" s="22">
        <v>1.5349999999999999</v>
      </c>
      <c r="K13" s="21">
        <v>0.18263732194090906</v>
      </c>
      <c r="L13" s="22">
        <v>0.4320683283185543</v>
      </c>
      <c r="M13" s="22">
        <v>0.31463338828088466</v>
      </c>
      <c r="N13" s="22">
        <v>0.47944198797775972</v>
      </c>
      <c r="O13" s="22">
        <v>1.51</v>
      </c>
      <c r="P13" s="21">
        <v>0.50025646923694655</v>
      </c>
      <c r="Q13" s="22">
        <v>0.80580591634045151</v>
      </c>
      <c r="R13" s="21">
        <v>0.19724653578726695</v>
      </c>
      <c r="S13" s="21">
        <v>0.17774409266886715</v>
      </c>
      <c r="T13" s="22">
        <v>1.49</v>
      </c>
      <c r="U13" s="21">
        <v>9.2171701224223759E-2</v>
      </c>
      <c r="V13" s="22">
        <v>0.47344152235542181</v>
      </c>
    </row>
    <row r="14" spans="1:22" x14ac:dyDescent="0.25">
      <c r="A14" s="3"/>
      <c r="B14" s="3" t="s">
        <v>2</v>
      </c>
      <c r="C14" s="22">
        <v>0.25754517556586204</v>
      </c>
      <c r="D14" s="22">
        <v>0.13532284687093249</v>
      </c>
      <c r="E14" s="22">
        <v>1.48</v>
      </c>
      <c r="F14" s="21"/>
      <c r="G14" s="22"/>
      <c r="H14" s="21">
        <v>0.22963975737894551</v>
      </c>
      <c r="I14" s="21">
        <v>0.13674402424757559</v>
      </c>
      <c r="J14" s="22">
        <v>1.4650000000000001</v>
      </c>
      <c r="K14" s="21"/>
      <c r="L14" s="22"/>
      <c r="M14" s="22">
        <v>0.32935922559649272</v>
      </c>
      <c r="N14" s="22">
        <v>0.57397910045566247</v>
      </c>
      <c r="O14" s="22">
        <v>1.49</v>
      </c>
      <c r="P14" s="21"/>
      <c r="Q14" s="22"/>
      <c r="R14" s="21">
        <v>0.26390063880669173</v>
      </c>
      <c r="S14" s="21">
        <v>0.42762657507079921</v>
      </c>
      <c r="T14" s="22">
        <v>1.51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0.2144554853472963</v>
      </c>
      <c r="D15" s="21">
        <v>0.13230181227547927</v>
      </c>
      <c r="E15" s="21">
        <v>1.4950000000000001</v>
      </c>
      <c r="F15" s="22">
        <v>0.15736404230434312</v>
      </c>
      <c r="G15" s="21">
        <v>0.85945047669451602</v>
      </c>
      <c r="H15" s="22">
        <v>0.19273605946979797</v>
      </c>
      <c r="I15" s="22">
        <v>0.10254296526287489</v>
      </c>
      <c r="J15" s="21">
        <v>1.42</v>
      </c>
      <c r="K15" s="22">
        <v>0.81304076142957304</v>
      </c>
      <c r="L15" s="21">
        <v>2.6456894176529314E-2</v>
      </c>
      <c r="M15" s="21">
        <v>0.17915178130970472</v>
      </c>
      <c r="N15" s="21">
        <v>0.12413690999177839</v>
      </c>
      <c r="O15" s="21">
        <v>1.5349999999999999</v>
      </c>
      <c r="P15" s="22">
        <v>0.7997243173078914</v>
      </c>
      <c r="Q15" s="21">
        <v>0.73744656048066237</v>
      </c>
      <c r="R15" s="22">
        <v>0.13948035097761663</v>
      </c>
      <c r="S15" s="22">
        <v>7.3663223149993282E-2</v>
      </c>
      <c r="T15" s="21">
        <v>1.4950000000000001</v>
      </c>
      <c r="U15" s="22">
        <v>0.39310820493652043</v>
      </c>
      <c r="V15" s="21">
        <v>0.62659642677084038</v>
      </c>
    </row>
    <row r="16" spans="1:22" x14ac:dyDescent="0.25">
      <c r="A16" s="3"/>
      <c r="B16" s="3" t="s">
        <v>2</v>
      </c>
      <c r="C16" s="21">
        <v>0.20239806231536117</v>
      </c>
      <c r="D16" s="21">
        <v>0.11482522617438522</v>
      </c>
      <c r="E16" s="21">
        <v>1.5049999999999999</v>
      </c>
      <c r="F16" s="22"/>
      <c r="G16" s="21"/>
      <c r="H16" s="22">
        <v>0.19203607962442587</v>
      </c>
      <c r="I16" s="22">
        <v>9.9653427142503123E-2</v>
      </c>
      <c r="J16" s="21">
        <v>1.58</v>
      </c>
      <c r="K16" s="22"/>
      <c r="L16" s="21"/>
      <c r="M16" s="21">
        <v>0.18033292304921861</v>
      </c>
      <c r="N16" s="21">
        <v>0.11608325937927598</v>
      </c>
      <c r="O16" s="21">
        <v>1.4650000000000001</v>
      </c>
      <c r="P16" s="22"/>
      <c r="Q16" s="21"/>
      <c r="R16" s="22">
        <v>0.14342418001501409</v>
      </c>
      <c r="S16" s="22">
        <v>7.9246577376282296E-2</v>
      </c>
      <c r="T16" s="21">
        <v>1.5049999999999999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0.15021347256770748</v>
      </c>
      <c r="D17" s="22">
        <v>6.6120952720962786E-2</v>
      </c>
      <c r="E17" s="22">
        <v>1.58</v>
      </c>
      <c r="F17" s="21">
        <v>0.28336876567141117</v>
      </c>
      <c r="G17" s="22">
        <v>0.26897701904801791</v>
      </c>
      <c r="H17" s="21">
        <v>7.7072537770272342E-2</v>
      </c>
      <c r="I17" s="21">
        <v>6.8906452920041758E-2</v>
      </c>
      <c r="J17" s="22">
        <v>1.4350000000000001</v>
      </c>
      <c r="K17" s="21">
        <v>0.19494284647112731</v>
      </c>
      <c r="L17" s="22">
        <v>6.4092203494432939E-2</v>
      </c>
      <c r="M17" s="22">
        <v>5.7752112837103332E-2</v>
      </c>
      <c r="N17" s="22">
        <v>4.6041588392849886E-2</v>
      </c>
      <c r="O17" s="22">
        <v>1.44</v>
      </c>
      <c r="P17" s="21">
        <v>0.25539889702672719</v>
      </c>
      <c r="Q17" s="22">
        <v>0.23894563658045889</v>
      </c>
      <c r="R17" s="21">
        <v>5.2237185527899396E-2</v>
      </c>
      <c r="S17" s="21">
        <v>5.7520919118062168E-2</v>
      </c>
      <c r="T17" s="22">
        <v>1.47</v>
      </c>
      <c r="U17" s="21">
        <v>0.64385354328206901</v>
      </c>
      <c r="V17" s="22">
        <v>0.36493659541727641</v>
      </c>
    </row>
    <row r="18" spans="1:22" x14ac:dyDescent="0.25">
      <c r="A18" s="3"/>
      <c r="B18" s="3" t="s">
        <v>2</v>
      </c>
      <c r="C18" s="22">
        <v>0.14994778084467864</v>
      </c>
      <c r="D18" s="22">
        <v>6.5923580276619778E-2</v>
      </c>
      <c r="E18" s="22">
        <v>1.42</v>
      </c>
      <c r="F18" s="21"/>
      <c r="G18" s="22"/>
      <c r="H18" s="21">
        <v>7.8943859171426281E-2</v>
      </c>
      <c r="I18" s="21">
        <v>6.8739779152155081E-2</v>
      </c>
      <c r="J18" s="22">
        <v>1.5649999999999999</v>
      </c>
      <c r="K18" s="21"/>
      <c r="L18" s="22"/>
      <c r="M18" s="22">
        <v>6.3515688768634532E-2</v>
      </c>
      <c r="N18" s="22">
        <v>5.2243250923264969E-2</v>
      </c>
      <c r="O18" s="22">
        <v>1.56</v>
      </c>
      <c r="P18" s="21"/>
      <c r="Q18" s="22"/>
      <c r="R18" s="21">
        <v>5.4448336820539851E-2</v>
      </c>
      <c r="S18" s="21">
        <v>5.373661347180856E-2</v>
      </c>
      <c r="T18" s="22">
        <v>1.53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0.18158399323723873</v>
      </c>
      <c r="D19" s="21">
        <v>8.4236934509286987E-2</v>
      </c>
      <c r="E19" s="21">
        <v>1.4350000000000001</v>
      </c>
      <c r="F19" s="22">
        <v>0.88317782720851679</v>
      </c>
      <c r="G19" s="21">
        <v>0.50584849029853562</v>
      </c>
      <c r="H19" s="22">
        <v>0.17689966143742974</v>
      </c>
      <c r="I19" s="22">
        <v>0.13285687901759671</v>
      </c>
      <c r="J19" s="21">
        <v>1.4950000000000001</v>
      </c>
      <c r="K19" s="22">
        <v>0.67181203793409561</v>
      </c>
      <c r="L19" s="21">
        <v>0.81647049847770459</v>
      </c>
      <c r="M19" s="21">
        <v>0.11495956335396246</v>
      </c>
      <c r="N19" s="21">
        <v>9.0727066033092552E-2</v>
      </c>
      <c r="O19" s="21">
        <v>1.5</v>
      </c>
      <c r="P19" s="22">
        <v>0.72228134560889545</v>
      </c>
      <c r="Q19" s="21">
        <v>0.69635178840489231</v>
      </c>
      <c r="R19" s="22">
        <v>6.9201834475318413E-2</v>
      </c>
      <c r="S19" s="22">
        <v>6.6589619578719644E-2</v>
      </c>
      <c r="T19" s="21">
        <v>1.335</v>
      </c>
      <c r="U19" s="22">
        <v>1.5185823243476176E-5</v>
      </c>
      <c r="V19" s="21">
        <v>2.5511222878407374E-5</v>
      </c>
    </row>
    <row r="20" spans="1:22" x14ac:dyDescent="0.25">
      <c r="A20" s="3"/>
      <c r="B20" s="3" t="s">
        <v>2</v>
      </c>
      <c r="C20" s="21">
        <v>0.18230231769480917</v>
      </c>
      <c r="D20" s="21">
        <v>8.158077292312936E-2</v>
      </c>
      <c r="E20" s="21">
        <v>1.5649999999999999</v>
      </c>
      <c r="F20" s="22"/>
      <c r="G20" s="21"/>
      <c r="H20" s="22">
        <v>0.18100264415859577</v>
      </c>
      <c r="I20" s="22">
        <v>0.14402061572515687</v>
      </c>
      <c r="J20" s="21">
        <v>1.5049999999999999</v>
      </c>
      <c r="K20" s="22"/>
      <c r="L20" s="21"/>
      <c r="M20" s="21">
        <v>0.11247999347517083</v>
      </c>
      <c r="N20" s="21">
        <v>9.4932306635561778E-2</v>
      </c>
      <c r="O20" s="21">
        <v>1.5</v>
      </c>
      <c r="P20" s="22"/>
      <c r="Q20" s="21"/>
      <c r="R20" s="22">
        <v>8.9648353359456243E-2</v>
      </c>
      <c r="S20" s="22">
        <v>7.7891263054063908E-2</v>
      </c>
      <c r="T20" s="21">
        <v>1.665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0.1739628468806276</v>
      </c>
      <c r="D21" s="22">
        <v>8.0916197987195002E-2</v>
      </c>
      <c r="E21" s="22">
        <v>1.45</v>
      </c>
      <c r="F21" s="21">
        <v>7.3413302456477071E-3</v>
      </c>
      <c r="G21" s="22">
        <v>3.0431709372498159E-2</v>
      </c>
      <c r="H21" s="21">
        <v>0.1747929625052301</v>
      </c>
      <c r="I21" s="21">
        <v>9.605004262645768E-2</v>
      </c>
      <c r="J21" s="22">
        <v>1.4450000000000001</v>
      </c>
      <c r="K21" s="21">
        <v>0.1011604189302792</v>
      </c>
      <c r="L21" s="22">
        <v>0.63637751779939467</v>
      </c>
      <c r="M21" s="22">
        <v>0.1490800975238844</v>
      </c>
      <c r="N21" s="22">
        <v>0.11337303278265323</v>
      </c>
      <c r="O21" s="22">
        <v>1.585</v>
      </c>
      <c r="P21" s="21">
        <v>0.84009688785985215</v>
      </c>
      <c r="Q21" s="22">
        <v>6.7629184782360061E-2</v>
      </c>
      <c r="R21" s="21">
        <v>0.11414168181814324</v>
      </c>
      <c r="S21" s="21">
        <v>7.4219101093617318E-2</v>
      </c>
      <c r="T21" s="22">
        <v>1.4350000000000001</v>
      </c>
      <c r="U21" s="21">
        <v>0.93473243810132634</v>
      </c>
      <c r="V21" s="22">
        <v>0.23350461407689221</v>
      </c>
    </row>
    <row r="22" spans="1:22" x14ac:dyDescent="0.25">
      <c r="A22" s="3"/>
      <c r="B22" s="3" t="s">
        <v>2</v>
      </c>
      <c r="C22" s="22">
        <v>0.17424137423887479</v>
      </c>
      <c r="D22" s="22">
        <v>8.1106445319693118E-2</v>
      </c>
      <c r="E22" s="22">
        <v>1.55</v>
      </c>
      <c r="F22" s="21"/>
      <c r="G22" s="22"/>
      <c r="H22" s="21">
        <v>0.17737071476610905</v>
      </c>
      <c r="I22" s="21">
        <v>9.7661773339884447E-2</v>
      </c>
      <c r="J22" s="22">
        <v>1.5549999999999999</v>
      </c>
      <c r="K22" s="21"/>
      <c r="L22" s="22"/>
      <c r="M22" s="22">
        <v>0.14776805206653618</v>
      </c>
      <c r="N22" s="22">
        <v>0.11061578167526549</v>
      </c>
      <c r="O22" s="22">
        <v>1.415</v>
      </c>
      <c r="P22" s="21"/>
      <c r="Q22" s="22"/>
      <c r="R22" s="21">
        <v>0.11390735463028534</v>
      </c>
      <c r="S22" s="21">
        <v>7.084211813363292E-2</v>
      </c>
      <c r="T22" s="22">
        <v>1.5649999999999999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0.2245225505944495</v>
      </c>
      <c r="D23" s="21">
        <v>0.11817619475022294</v>
      </c>
      <c r="E23" s="21">
        <v>1.46</v>
      </c>
      <c r="F23" s="22">
        <v>8.4372128584754555E-2</v>
      </c>
      <c r="G23" s="21">
        <v>0.22550874130903326</v>
      </c>
      <c r="H23" s="22">
        <v>0.12026488456574938</v>
      </c>
      <c r="I23" s="22">
        <v>8.566814417103856E-2</v>
      </c>
      <c r="J23" s="21">
        <v>1.4650000000000001</v>
      </c>
      <c r="K23" s="22">
        <v>0.19803922358229364</v>
      </c>
      <c r="L23" s="21">
        <v>0.75045076620022766</v>
      </c>
      <c r="M23" s="21">
        <v>0.11494440795934555</v>
      </c>
      <c r="N23" s="21">
        <v>8.4906252330085599E-2</v>
      </c>
      <c r="O23" s="21">
        <v>1.5</v>
      </c>
      <c r="P23" s="22">
        <v>0.75218785013684319</v>
      </c>
      <c r="Q23" s="21">
        <v>0.47983015992568956</v>
      </c>
      <c r="R23" s="22">
        <v>0.10765729556774711</v>
      </c>
      <c r="S23" s="22">
        <v>7.6626687441564478E-2</v>
      </c>
      <c r="T23" s="21">
        <v>1.605</v>
      </c>
      <c r="U23" s="22">
        <v>0.42422146415974571</v>
      </c>
      <c r="V23" s="21">
        <v>9.992064971841394E-2</v>
      </c>
    </row>
    <row r="24" spans="1:22" x14ac:dyDescent="0.25">
      <c r="A24" s="3"/>
      <c r="B24" s="3" t="s">
        <v>2</v>
      </c>
      <c r="C24" s="21">
        <v>0.22549882174770705</v>
      </c>
      <c r="D24" s="21">
        <v>0.11711554975598684</v>
      </c>
      <c r="E24" s="21">
        <v>1.54</v>
      </c>
      <c r="F24" s="22"/>
      <c r="G24" s="21"/>
      <c r="H24" s="22">
        <v>0.11668906928379114</v>
      </c>
      <c r="I24" s="22">
        <v>8.2978805935742403E-2</v>
      </c>
      <c r="J24" s="21">
        <v>1.5349999999999999</v>
      </c>
      <c r="K24" s="22"/>
      <c r="L24" s="21"/>
      <c r="M24" s="21">
        <v>0.11251821424891735</v>
      </c>
      <c r="N24" s="21">
        <v>7.2698089274159952E-2</v>
      </c>
      <c r="O24" s="21">
        <v>1.5</v>
      </c>
      <c r="P24" s="22"/>
      <c r="Q24" s="21"/>
      <c r="R24" s="22">
        <v>0.10315477291721643</v>
      </c>
      <c r="S24" s="22">
        <v>7.7630236129301311E-2</v>
      </c>
      <c r="T24" s="21">
        <v>1.395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0.2351641934352719</v>
      </c>
      <c r="D25" s="22">
        <v>0.11383888982613159</v>
      </c>
      <c r="E25" s="22">
        <v>1.41</v>
      </c>
      <c r="F25" s="21">
        <v>9.8323298613143456E-2</v>
      </c>
      <c r="G25" s="22">
        <v>3.8950062641109034E-2</v>
      </c>
      <c r="H25" s="21">
        <v>0.12230223550331702</v>
      </c>
      <c r="I25" s="21">
        <v>8.2608036731903214E-2</v>
      </c>
      <c r="J25" s="22">
        <v>1.5049999999999999</v>
      </c>
      <c r="K25" s="21">
        <v>0.51612710256047545</v>
      </c>
      <c r="L25" s="22">
        <v>0.9931416186894213</v>
      </c>
      <c r="M25" s="22">
        <v>0.11286803736599423</v>
      </c>
      <c r="N25" s="22">
        <v>8.9839687193432993E-2</v>
      </c>
      <c r="O25" s="22">
        <v>1.4350000000000001</v>
      </c>
      <c r="P25" s="21">
        <v>0.57117611105498267</v>
      </c>
      <c r="Q25" s="22">
        <v>0.26160186565751337</v>
      </c>
      <c r="R25" s="21">
        <v>0.10798143620152889</v>
      </c>
      <c r="S25" s="21">
        <v>7.7368843015955577E-2</v>
      </c>
      <c r="T25" s="22">
        <v>1.4750000000000001</v>
      </c>
      <c r="U25" s="21">
        <v>0.4044158613001313</v>
      </c>
      <c r="V25" s="22">
        <v>0.93286644371462502</v>
      </c>
    </row>
    <row r="26" spans="1:22" x14ac:dyDescent="0.25">
      <c r="A26" s="3"/>
      <c r="B26" s="3" t="s">
        <v>2</v>
      </c>
      <c r="C26" s="22">
        <v>0.23539556359534541</v>
      </c>
      <c r="D26" s="22">
        <v>0.11394385201086897</v>
      </c>
      <c r="E26" s="22">
        <v>1.59</v>
      </c>
      <c r="F26" s="21"/>
      <c r="G26" s="22"/>
      <c r="H26" s="21">
        <v>0.12428222143499029</v>
      </c>
      <c r="I26" s="21">
        <v>8.4379999279906998E-2</v>
      </c>
      <c r="J26" s="22">
        <v>1.4950000000000001</v>
      </c>
      <c r="K26" s="21"/>
      <c r="L26" s="22"/>
      <c r="M26" s="22">
        <v>0.11660428603146565</v>
      </c>
      <c r="N26" s="22">
        <v>8.9172026676319169E-2</v>
      </c>
      <c r="O26" s="22">
        <v>1.5649999999999999</v>
      </c>
      <c r="P26" s="21"/>
      <c r="Q26" s="22"/>
      <c r="R26" s="21">
        <v>0.10248192580368155</v>
      </c>
      <c r="S26" s="21">
        <v>8.0669070658339642E-2</v>
      </c>
      <c r="T26" s="22">
        <v>1.5249999999999999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0.2312710860357465</v>
      </c>
      <c r="D27" s="21">
        <v>0.11827224628724112</v>
      </c>
      <c r="E27" s="21">
        <v>1.39</v>
      </c>
      <c r="F27" s="22">
        <v>0.57191254999523178</v>
      </c>
      <c r="G27" s="21">
        <v>1.3625108994948258E-2</v>
      </c>
      <c r="H27" s="22">
        <v>0.12287053576705116</v>
      </c>
      <c r="I27" s="22">
        <v>8.1256864458387923E-2</v>
      </c>
      <c r="J27" s="21">
        <v>1.54</v>
      </c>
      <c r="K27" s="22">
        <v>0.28967085293866607</v>
      </c>
      <c r="L27" s="21">
        <v>0.64129208025018669</v>
      </c>
      <c r="M27" s="21">
        <v>0.11935144101458034</v>
      </c>
      <c r="N27" s="21">
        <v>8.3833679493143048E-2</v>
      </c>
      <c r="O27" s="21">
        <v>1.5049999999999999</v>
      </c>
      <c r="P27" s="22">
        <v>0.533364514385541</v>
      </c>
      <c r="Q27" s="21">
        <v>0.36493659541727641</v>
      </c>
      <c r="R27" s="22">
        <v>0.10561672337211034</v>
      </c>
      <c r="S27" s="22">
        <v>6.9574791481016654E-2</v>
      </c>
      <c r="T27" s="21">
        <v>1.53</v>
      </c>
      <c r="U27" s="22">
        <v>0.6325788174418846</v>
      </c>
      <c r="V27" s="21">
        <v>0.32627637516262764</v>
      </c>
    </row>
    <row r="28" spans="1:22" x14ac:dyDescent="0.25">
      <c r="A28" s="3"/>
      <c r="B28" s="3" t="s">
        <v>2</v>
      </c>
      <c r="C28" s="21">
        <v>0.23174945100571764</v>
      </c>
      <c r="D28" s="21">
        <v>0.11931495902654569</v>
      </c>
      <c r="E28" s="21">
        <v>1.61</v>
      </c>
      <c r="F28" s="22"/>
      <c r="G28" s="21"/>
      <c r="H28" s="22">
        <v>0.12110761316979859</v>
      </c>
      <c r="I28" s="22">
        <v>8.0177929925985811E-2</v>
      </c>
      <c r="J28" s="21">
        <v>1.46</v>
      </c>
      <c r="K28" s="22"/>
      <c r="L28" s="21"/>
      <c r="M28" s="21">
        <v>0.11623965363397538</v>
      </c>
      <c r="N28" s="21">
        <v>7.5864407560962632E-2</v>
      </c>
      <c r="O28" s="21">
        <v>1.4950000000000001</v>
      </c>
      <c r="P28" s="22"/>
      <c r="Q28" s="21"/>
      <c r="R28" s="22">
        <v>0.1032227587144755</v>
      </c>
      <c r="S28" s="22">
        <v>7.4809278465209725E-2</v>
      </c>
      <c r="T28" s="21">
        <v>1.47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0.22497224890812198</v>
      </c>
      <c r="D29" s="22">
        <v>0.11768684365009902</v>
      </c>
      <c r="E29" s="22">
        <v>1.4650000000000001</v>
      </c>
      <c r="F29" s="21">
        <v>0.6655686962638997</v>
      </c>
      <c r="G29" s="22">
        <v>0.52136183879095355</v>
      </c>
      <c r="H29" s="21">
        <v>0.11756480179063007</v>
      </c>
      <c r="I29" s="21">
        <v>8.2086888948648865E-2</v>
      </c>
      <c r="J29" s="22">
        <v>1.53</v>
      </c>
      <c r="K29" s="21">
        <v>0.44751410262386265</v>
      </c>
      <c r="L29" s="22">
        <v>0.62903563940321439</v>
      </c>
      <c r="M29" s="22">
        <v>0.1097852225134671</v>
      </c>
      <c r="N29" s="22">
        <v>7.4560734680460747E-2</v>
      </c>
      <c r="O29" s="22">
        <v>1.48</v>
      </c>
      <c r="P29" s="21">
        <v>0.10587874692303625</v>
      </c>
      <c r="Q29" s="22">
        <v>0.23215819172367994</v>
      </c>
      <c r="R29" s="21">
        <v>9.809256379773286E-2</v>
      </c>
      <c r="S29" s="21">
        <v>7.3257427000364181E-2</v>
      </c>
      <c r="T29" s="22">
        <v>1.45</v>
      </c>
      <c r="U29" s="21">
        <v>0.53966695480052451</v>
      </c>
      <c r="V29" s="22">
        <v>0.6988957296826559</v>
      </c>
    </row>
    <row r="30" spans="1:22" x14ac:dyDescent="0.25">
      <c r="A30" s="3"/>
      <c r="B30" s="3" t="s">
        <v>2</v>
      </c>
      <c r="C30" s="22">
        <v>0.2250259381437483</v>
      </c>
      <c r="D30" s="22">
        <v>0.11785087614206073</v>
      </c>
      <c r="E30" s="22">
        <v>1.5349999999999999</v>
      </c>
      <c r="F30" s="21"/>
      <c r="G30" s="22"/>
      <c r="H30" s="21">
        <v>0.1168935672513534</v>
      </c>
      <c r="I30" s="21">
        <v>8.2820105766806151E-2</v>
      </c>
      <c r="J30" s="22">
        <v>1.47</v>
      </c>
      <c r="K30" s="21"/>
      <c r="L30" s="22"/>
      <c r="M30" s="22">
        <v>0.11914282656664427</v>
      </c>
      <c r="N30" s="22">
        <v>8.0301632156389774E-2</v>
      </c>
      <c r="O30" s="22">
        <v>1.52</v>
      </c>
      <c r="P30" s="21"/>
      <c r="Q30" s="22"/>
      <c r="R30" s="21">
        <v>0.10206776048798118</v>
      </c>
      <c r="S30" s="21">
        <v>7.5048752964607071E-2</v>
      </c>
      <c r="T30" s="22">
        <v>1.55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0.22497600485414762</v>
      </c>
      <c r="D31" s="21">
        <v>0.11767614553100453</v>
      </c>
      <c r="E31" s="21">
        <v>1.4</v>
      </c>
      <c r="F31" s="22">
        <v>0.13078288525878362</v>
      </c>
      <c r="G31" s="21">
        <v>3.069633095074991E-2</v>
      </c>
      <c r="H31" s="22">
        <v>0.11623336022483821</v>
      </c>
      <c r="I31" s="22">
        <v>8.0758119080733284E-2</v>
      </c>
      <c r="J31" s="21">
        <v>1.49</v>
      </c>
      <c r="K31" s="22">
        <v>0.11910018092255299</v>
      </c>
      <c r="L31" s="21">
        <v>0.57634751236552906</v>
      </c>
      <c r="M31" s="21">
        <v>0.11688086505613653</v>
      </c>
      <c r="N31" s="21">
        <v>7.749025465315898E-2</v>
      </c>
      <c r="O31" s="21">
        <v>1.45</v>
      </c>
      <c r="P31" s="22">
        <v>0.75110681655440714</v>
      </c>
      <c r="Q31" s="21">
        <v>0.81380108193100897</v>
      </c>
      <c r="R31" s="22">
        <v>0.10571572183662409</v>
      </c>
      <c r="S31" s="22">
        <v>7.2552064602150537E-2</v>
      </c>
      <c r="T31" s="21">
        <v>1.56</v>
      </c>
      <c r="U31" s="22">
        <v>0.26959409701060066</v>
      </c>
      <c r="V31" s="21">
        <v>0.15212599330172194</v>
      </c>
    </row>
    <row r="32" spans="1:22" x14ac:dyDescent="0.25">
      <c r="A32" s="3"/>
      <c r="B32" s="3" t="s">
        <v>2</v>
      </c>
      <c r="C32" s="21">
        <v>0.22574792557648468</v>
      </c>
      <c r="D32" s="21">
        <v>0.11772273594530581</v>
      </c>
      <c r="E32" s="21">
        <v>1.6</v>
      </c>
      <c r="F32" s="22"/>
      <c r="G32" s="21"/>
      <c r="H32" s="22">
        <v>0.11770233603399957</v>
      </c>
      <c r="I32" s="22">
        <v>8.1968829338815385E-2</v>
      </c>
      <c r="J32" s="21">
        <v>1.51</v>
      </c>
      <c r="K32" s="22"/>
      <c r="L32" s="21"/>
      <c r="M32" s="21">
        <v>0.11893208137604339</v>
      </c>
      <c r="N32" s="21">
        <v>8.6621308677197306E-2</v>
      </c>
      <c r="O32" s="21">
        <v>1.55</v>
      </c>
      <c r="P32" s="22"/>
      <c r="Q32" s="21"/>
      <c r="R32" s="22">
        <v>0.10026154102263712</v>
      </c>
      <c r="S32" s="22">
        <v>6.4170044345362581E-2</v>
      </c>
      <c r="T32" s="21">
        <v>1.44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0.22823997814062971</v>
      </c>
      <c r="D33" s="22">
        <v>0.11401219056434801</v>
      </c>
      <c r="E33" s="22">
        <v>1.41</v>
      </c>
      <c r="F33" s="21">
        <v>0.73087175060819509</v>
      </c>
      <c r="G33" s="22">
        <v>6.4587935155663204E-2</v>
      </c>
      <c r="H33" s="21">
        <v>0.1218119666976112</v>
      </c>
      <c r="I33" s="21">
        <v>8.4525140164918147E-2</v>
      </c>
      <c r="J33" s="22">
        <v>1.54</v>
      </c>
      <c r="K33" s="21">
        <v>0.33949369907028448</v>
      </c>
      <c r="L33" s="22">
        <v>0.25869130746248081</v>
      </c>
      <c r="M33" s="22">
        <v>0.11774514596284189</v>
      </c>
      <c r="N33" s="22">
        <v>8.4056270527486029E-2</v>
      </c>
      <c r="O33" s="22">
        <v>1.46</v>
      </c>
      <c r="P33" s="21">
        <v>0.89742934125697205</v>
      </c>
      <c r="Q33" s="22">
        <v>0.99039837967530753</v>
      </c>
      <c r="R33" s="21">
        <v>9.957206082396157E-2</v>
      </c>
      <c r="S33" s="21">
        <v>7.0933537068023383E-2</v>
      </c>
      <c r="T33" s="22">
        <v>1.46</v>
      </c>
      <c r="U33" s="21">
        <v>0.46230575708928301</v>
      </c>
      <c r="V33" s="22">
        <v>0.50146115061193741</v>
      </c>
    </row>
    <row r="34" spans="1:22" x14ac:dyDescent="0.25">
      <c r="A34" s="3"/>
      <c r="B34" s="3" t="s">
        <v>2</v>
      </c>
      <c r="C34" s="22">
        <v>0.2280325262263809</v>
      </c>
      <c r="D34" s="22">
        <v>0.11487678835598328</v>
      </c>
      <c r="E34" s="22">
        <v>1.59</v>
      </c>
      <c r="F34" s="21"/>
      <c r="G34" s="22"/>
      <c r="H34" s="21">
        <v>0.11895740080328208</v>
      </c>
      <c r="I34" s="21">
        <v>7.9651214134837889E-2</v>
      </c>
      <c r="J34" s="22">
        <v>1.46</v>
      </c>
      <c r="K34" s="21"/>
      <c r="L34" s="22"/>
      <c r="M34" s="22">
        <v>0.11692776000319044</v>
      </c>
      <c r="N34" s="22">
        <v>9.1964494116010015E-2</v>
      </c>
      <c r="O34" s="22">
        <v>1.54</v>
      </c>
      <c r="P34" s="21"/>
      <c r="Q34" s="22"/>
      <c r="R34" s="21">
        <v>0.10357078630586831</v>
      </c>
      <c r="S34" s="21">
        <v>7.3364291748916746E-2</v>
      </c>
      <c r="T34" s="22">
        <v>1.54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0.13680220038637614</v>
      </c>
      <c r="D35" s="21">
        <v>6.0693352870630539E-2</v>
      </c>
      <c r="E35" s="21">
        <v>1.395</v>
      </c>
      <c r="F35" s="22">
        <v>1.2038837057810593E-2</v>
      </c>
      <c r="G35" s="21">
        <v>1.8254746936589301E-2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  <c r="T35" s="18"/>
      <c r="U35" s="18"/>
      <c r="V35" s="10"/>
    </row>
    <row r="36" spans="1:22" x14ac:dyDescent="0.25">
      <c r="A36" s="3"/>
      <c r="B36" s="3" t="s">
        <v>2</v>
      </c>
      <c r="C36" s="21">
        <v>0.13706403405517009</v>
      </c>
      <c r="D36" s="21">
        <v>6.0513898719571316E-2</v>
      </c>
      <c r="E36" s="21">
        <v>1.605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0.20738794162123658</v>
      </c>
      <c r="D37" s="22">
        <v>0.10407365273956987</v>
      </c>
      <c r="E37" s="22">
        <v>1.4850000000000001</v>
      </c>
      <c r="F37" s="21">
        <v>0.26752073461055975</v>
      </c>
      <c r="G37" s="22">
        <v>0.71936697456310228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0.2061974645605292</v>
      </c>
      <c r="D38" s="22">
        <v>0.10268814066844879</v>
      </c>
      <c r="E38" s="22">
        <v>1.5149999999999999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0.16783869712129298</v>
      </c>
      <c r="D39" s="21">
        <v>8.1704380280162359E-2</v>
      </c>
      <c r="E39" s="21">
        <v>1.55</v>
      </c>
      <c r="F39" s="22">
        <v>0.88672399693907034</v>
      </c>
      <c r="G39" s="21">
        <v>0.22815201708613991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0.16762010675420702</v>
      </c>
      <c r="D40" s="21">
        <v>8.0829821803703697E-2</v>
      </c>
      <c r="E40" s="21">
        <v>1.45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0.1372637477825836</v>
      </c>
      <c r="D41" s="22">
        <v>6.047397267299081E-2</v>
      </c>
      <c r="E41" s="22">
        <v>1.48</v>
      </c>
      <c r="F41" s="21">
        <v>0.78190280171280424</v>
      </c>
      <c r="G41" s="22">
        <v>0.77930605761038341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0.13730796274888663</v>
      </c>
      <c r="D42" s="22">
        <v>6.038671676952876E-2</v>
      </c>
      <c r="E42" s="22">
        <v>1.52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9.0430604645154955E-2</v>
      </c>
      <c r="D43" s="21">
        <v>2.46867567484572E-2</v>
      </c>
      <c r="E43" s="21">
        <v>1.5049999999999999</v>
      </c>
      <c r="F43" s="22">
        <v>0.68107623976648035</v>
      </c>
      <c r="G43" s="21">
        <v>0.46709995224794126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9.0148745996162974E-2</v>
      </c>
      <c r="D44" s="21">
        <v>2.4781247816062953E-2</v>
      </c>
      <c r="E44" s="21">
        <v>1.4950000000000001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0.19114942679312347</v>
      </c>
      <c r="D45" s="22">
        <v>9.3290326818294966E-2</v>
      </c>
      <c r="E45" s="22">
        <v>1.47</v>
      </c>
      <c r="F45" s="21">
        <v>0.18744256193556813</v>
      </c>
      <c r="G45" s="22">
        <v>0.15114449115796622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0.19143914764911166</v>
      </c>
      <c r="D46" s="22">
        <v>9.3406505251759531E-2</v>
      </c>
      <c r="E46" s="22">
        <v>1.53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Paper_MOD</vt:lpstr>
      <vt:lpstr>HV</vt:lpstr>
      <vt:lpstr>GD</vt:lpstr>
      <vt:lpstr>BS</vt:lpstr>
      <vt:lpstr>AVS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Praca</dc:creator>
  <cp:lastModifiedBy>Michał Tomczyk</cp:lastModifiedBy>
  <dcterms:modified xsi:type="dcterms:W3CDTF">2025-11-04T10:13:54Z</dcterms:modified>
</cp:coreProperties>
</file>