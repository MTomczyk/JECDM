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ropbox\Praca\Projekty\2025\Swarm_ERS_1st_review\results\"/>
    </mc:Choice>
  </mc:AlternateContent>
  <xr:revisionPtr revIDLastSave="0" documentId="13_ncr:1_{4EC047F6-5F60-4E79-A7FE-F529A221268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aper_MOD" sheetId="9" r:id="rId1"/>
    <sheet name="HV" sheetId="6" r:id="rId2"/>
    <sheet name="GD" sheetId="1" r:id="rId3"/>
    <sheet name="BS" sheetId="7" r:id="rId4"/>
    <sheet name="AVS" sheetId="8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9" l="1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B6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Q4" i="9"/>
  <c r="P4" i="9"/>
  <c r="O4" i="9"/>
  <c r="N4" i="9"/>
  <c r="G4" i="9"/>
  <c r="K4" i="9"/>
  <c r="M4" i="9"/>
  <c r="L4" i="9"/>
  <c r="J4" i="9"/>
  <c r="U4" i="9" s="1"/>
  <c r="I4" i="9"/>
  <c r="H4" i="9"/>
  <c r="F4" i="9"/>
  <c r="T4" i="9" s="1"/>
  <c r="E4" i="9"/>
  <c r="D4" i="9"/>
  <c r="C4" i="9"/>
  <c r="B4" i="9"/>
  <c r="V8" i="9" l="1"/>
  <c r="V16" i="9"/>
  <c r="V6" i="9"/>
  <c r="V10" i="9"/>
  <c r="V4" i="9"/>
  <c r="V18" i="9"/>
  <c r="V12" i="9"/>
  <c r="U11" i="9"/>
  <c r="U5" i="9"/>
  <c r="U18" i="9"/>
  <c r="U12" i="9"/>
  <c r="U6" i="9"/>
  <c r="U14" i="9"/>
  <c r="U10" i="9"/>
  <c r="U8" i="9"/>
  <c r="U16" i="9"/>
  <c r="U19" i="9"/>
  <c r="T10" i="9"/>
  <c r="T11" i="9"/>
  <c r="T18" i="9"/>
  <c r="T19" i="9"/>
  <c r="S10" i="9"/>
  <c r="S5" i="9"/>
  <c r="S17" i="9"/>
  <c r="S11" i="9"/>
  <c r="S19" i="9"/>
  <c r="S13" i="9"/>
  <c r="S15" i="9"/>
  <c r="S25" i="9"/>
  <c r="T7" i="9"/>
  <c r="U7" i="9"/>
  <c r="V5" i="9"/>
  <c r="V13" i="9"/>
  <c r="V15" i="9"/>
  <c r="V17" i="9"/>
  <c r="V19" i="9"/>
  <c r="T5" i="9"/>
  <c r="U9" i="9"/>
  <c r="V7" i="9"/>
  <c r="V11" i="9"/>
  <c r="S7" i="9"/>
  <c r="T9" i="9"/>
  <c r="V9" i="9"/>
  <c r="T13" i="9"/>
  <c r="U13" i="9"/>
  <c r="S12" i="9"/>
  <c r="S14" i="9"/>
  <c r="S16" i="9"/>
  <c r="S18" i="9"/>
  <c r="S20" i="9"/>
  <c r="T15" i="9"/>
  <c r="U15" i="9"/>
  <c r="S9" i="9"/>
  <c r="T17" i="9"/>
  <c r="U17" i="9"/>
  <c r="B28" i="9"/>
  <c r="S8" i="9"/>
  <c r="T14" i="9"/>
  <c r="T6" i="9"/>
  <c r="C29" i="9"/>
  <c r="T16" i="9"/>
  <c r="S6" i="9"/>
  <c r="T8" i="9"/>
  <c r="T12" i="9"/>
  <c r="V14" i="9"/>
  <c r="B29" i="9"/>
  <c r="S4" i="9"/>
  <c r="C28" i="9"/>
  <c r="S21" i="9"/>
  <c r="S22" i="9"/>
  <c r="S23" i="9"/>
  <c r="S24" i="9"/>
  <c r="D29" i="9" l="1"/>
</calcChain>
</file>

<file path=xl/sharedStrings.xml><?xml version="1.0" encoding="utf-8"?>
<sst xmlns="http://schemas.openxmlformats.org/spreadsheetml/2006/main" count="429" uniqueCount="40">
  <si>
    <t>DTLZ1</t>
  </si>
  <si>
    <t>DTLZ2</t>
  </si>
  <si>
    <t>ERS</t>
  </si>
  <si>
    <t>FRS</t>
  </si>
  <si>
    <t>Mean</t>
  </si>
  <si>
    <t>Std</t>
  </si>
  <si>
    <t>HV</t>
  </si>
  <si>
    <t>DTLZ3</t>
  </si>
  <si>
    <t>DTLZ4</t>
  </si>
  <si>
    <t>DTLZ5</t>
  </si>
  <si>
    <t>DTLZ6</t>
  </si>
  <si>
    <t>DTLZ7</t>
  </si>
  <si>
    <t>WFG1</t>
  </si>
  <si>
    <t>WFG2</t>
  </si>
  <si>
    <t>WFG3</t>
  </si>
  <si>
    <t>WFG4</t>
  </si>
  <si>
    <t>WFG5</t>
  </si>
  <si>
    <t>WFG6</t>
  </si>
  <si>
    <t>WFG7</t>
  </si>
  <si>
    <t>WFG8</t>
  </si>
  <si>
    <t>WFG9</t>
  </si>
  <si>
    <t>Problem</t>
  </si>
  <si>
    <t>Algorithm</t>
  </si>
  <si>
    <t>M</t>
  </si>
  <si>
    <t>$2$</t>
  </si>
  <si>
    <t>$3$</t>
  </si>
  <si>
    <t>$4$</t>
  </si>
  <si>
    <t>$5$</t>
  </si>
  <si>
    <t>$\overline{R}$</t>
  </si>
  <si>
    <t>GD</t>
  </si>
  <si>
    <t>BS</t>
  </si>
  <si>
    <t>ZDT1</t>
  </si>
  <si>
    <t>ZDT2</t>
  </si>
  <si>
    <t>ZDT4</t>
  </si>
  <si>
    <t>ZDT3</t>
  </si>
  <si>
    <t>ZDT5</t>
  </si>
  <si>
    <t>ZDT6</t>
  </si>
  <si>
    <t>$p$-$v^T$</t>
  </si>
  <si>
    <t>$p$-$v^W$</t>
  </si>
  <si>
    <t>AVS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</si>
</sst>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0" fontId="1" fillId="0" borderId="0" xfId="0" applyFont="1"/>
    <xf numFmtId="0" fontId="0" fillId="0" borderId="11" xfId="0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2" xfId="0" applyFont="1" applyFill="1" applyBorder="1"/>
    <xf numFmtId="0" fontId="1" fillId="2" borderId="6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0" xfId="0" applyFont="1" applyFill="1"/>
    <xf numFmtId="0" fontId="0" fillId="0" borderId="12" xfId="0" applyBorder="1"/>
    <xf numFmtId="0" fontId="0" fillId="2" borderId="0" xfId="0" applyFill="1"/>
    <xf numFmtId="0" fontId="1" fillId="3" borderId="13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Relationship Id="rId9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130C5-17DA-496C-A30B-EBF8757A6ECC}">
  <dimension ref="A1:X37"/>
  <sheetViews>
    <sheetView tabSelected="1" zoomScale="145" zoomScaleNormal="145" workbookViewId="0">
      <selection activeCell="I26" sqref="I26"/>
    </sheetView>
  </sheetViews>
  <sheetFormatPr defaultRowHeight="15" x14ac:dyDescent="0.25"/>
  <sheetData>
    <row r="1" spans="1:23" x14ac:dyDescent="0.25">
      <c r="A1" s="6" t="s">
        <v>23</v>
      </c>
      <c r="B1" s="2" t="s">
        <v>24</v>
      </c>
      <c r="F1" s="2" t="s">
        <v>25</v>
      </c>
      <c r="J1" s="2" t="s">
        <v>26</v>
      </c>
      <c r="N1" s="2" t="s">
        <v>27</v>
      </c>
    </row>
    <row r="2" spans="1:23" x14ac:dyDescent="0.25">
      <c r="A2" s="6" t="s">
        <v>22</v>
      </c>
      <c r="B2" s="9" t="s">
        <v>3</v>
      </c>
      <c r="C2" s="6" t="s">
        <v>2</v>
      </c>
      <c r="D2" s="6"/>
      <c r="E2" s="6"/>
      <c r="F2" s="6" t="s">
        <v>3</v>
      </c>
      <c r="G2" s="6" t="s">
        <v>2</v>
      </c>
      <c r="H2" s="6"/>
      <c r="I2" s="6"/>
      <c r="J2" s="6" t="s">
        <v>3</v>
      </c>
      <c r="K2" s="6" t="s">
        <v>2</v>
      </c>
      <c r="L2" s="6"/>
      <c r="M2" s="6"/>
      <c r="N2" s="6" t="s">
        <v>3</v>
      </c>
      <c r="O2" s="6" t="s">
        <v>2</v>
      </c>
      <c r="P2" s="6"/>
      <c r="Q2" s="6"/>
    </row>
    <row r="3" spans="1:23" x14ac:dyDescent="0.25">
      <c r="A3" s="6" t="s">
        <v>21</v>
      </c>
      <c r="B3" s="6" t="s">
        <v>28</v>
      </c>
      <c r="C3" s="6" t="s">
        <v>28</v>
      </c>
      <c r="D3" s="6" t="s">
        <v>37</v>
      </c>
      <c r="E3" s="6" t="s">
        <v>38</v>
      </c>
      <c r="F3" s="6" t="s">
        <v>28</v>
      </c>
      <c r="G3" s="6" t="s">
        <v>28</v>
      </c>
      <c r="H3" s="6" t="s">
        <v>37</v>
      </c>
      <c r="I3" s="6" t="s">
        <v>38</v>
      </c>
      <c r="J3" s="6" t="s">
        <v>28</v>
      </c>
      <c r="K3" s="6" t="s">
        <v>28</v>
      </c>
      <c r="L3" s="6" t="s">
        <v>37</v>
      </c>
      <c r="M3" s="6" t="s">
        <v>38</v>
      </c>
      <c r="N3" s="6" t="s">
        <v>28</v>
      </c>
      <c r="O3" s="6" t="s">
        <v>28</v>
      </c>
      <c r="P3" s="6" t="s">
        <v>37</v>
      </c>
      <c r="Q3" s="6" t="s">
        <v>38</v>
      </c>
    </row>
    <row r="4" spans="1:23" x14ac:dyDescent="0.25">
      <c r="A4" s="6" t="s">
        <v>0</v>
      </c>
      <c r="B4">
        <f>HV!E3</f>
        <v>1.635</v>
      </c>
      <c r="C4">
        <f>HV!E4</f>
        <v>1.365</v>
      </c>
      <c r="D4">
        <f>HV!F3</f>
        <v>1.2973536659001769E-4</v>
      </c>
      <c r="E4">
        <f>HV!G3</f>
        <v>8.2809677122200005E-6</v>
      </c>
      <c r="F4">
        <f>HV!J3</f>
        <v>2</v>
      </c>
      <c r="G4">
        <f>HV!J4</f>
        <v>1</v>
      </c>
      <c r="H4">
        <f>HV!K3</f>
        <v>3.7526899551493382E-18</v>
      </c>
      <c r="I4">
        <f>HV!L3</f>
        <v>3.8380873502653143E-18</v>
      </c>
      <c r="J4">
        <f>HV!O3</f>
        <v>1.96</v>
      </c>
      <c r="K4">
        <f>HV!O4</f>
        <v>1.04</v>
      </c>
      <c r="L4">
        <f>HV!P3</f>
        <v>2.7825963156727104E-17</v>
      </c>
      <c r="M4">
        <f>HV!Q3</f>
        <v>1.0041880547516728E-17</v>
      </c>
      <c r="N4">
        <f>HV!T3</f>
        <v>1.99</v>
      </c>
      <c r="O4">
        <f>HV!T4</f>
        <v>1.01</v>
      </c>
      <c r="P4">
        <f>HV!U3</f>
        <v>8.5361604183310343E-30</v>
      </c>
      <c r="Q4">
        <f>HV!V3</f>
        <v>4.4639854239081199E-18</v>
      </c>
      <c r="S4">
        <f>IF(C4&lt;B4,1,0)</f>
        <v>1</v>
      </c>
      <c r="T4">
        <f>IF(G4&lt;F4,1,0)</f>
        <v>1</v>
      </c>
      <c r="U4">
        <f>IF(K4&lt;J4,1,0)</f>
        <v>1</v>
      </c>
      <c r="V4">
        <f>IF(O4&lt;N4,1,0)</f>
        <v>1</v>
      </c>
    </row>
    <row r="5" spans="1:23" x14ac:dyDescent="0.25">
      <c r="A5" s="6" t="s">
        <v>1</v>
      </c>
      <c r="B5">
        <f>HV!E5</f>
        <v>1.94</v>
      </c>
      <c r="C5">
        <f>HV!E6</f>
        <v>1.06</v>
      </c>
      <c r="D5">
        <f>HV!F5</f>
        <v>4.3448592562434017E-4</v>
      </c>
      <c r="E5">
        <f>HV!G5</f>
        <v>1.3132815175954596E-17</v>
      </c>
      <c r="F5">
        <f>HV!J5</f>
        <v>1.96</v>
      </c>
      <c r="G5">
        <f>HV!J6</f>
        <v>1.04</v>
      </c>
      <c r="H5">
        <f>HV!K5</f>
        <v>4.5800532615635368E-5</v>
      </c>
      <c r="I5">
        <f>HV!L5</f>
        <v>1.1508919314503629E-16</v>
      </c>
      <c r="J5">
        <f>HV!O5</f>
        <v>1.95</v>
      </c>
      <c r="K5">
        <f>HV!O6</f>
        <v>1.05</v>
      </c>
      <c r="L5">
        <f>HV!P5</f>
        <v>5.7593833260742951E-6</v>
      </c>
      <c r="M5">
        <f>HV!Q5</f>
        <v>2.0086317842650863E-15</v>
      </c>
      <c r="N5">
        <f>HV!T5</f>
        <v>1.89</v>
      </c>
      <c r="O5">
        <f>HV!T6</f>
        <v>1.1100000000000001</v>
      </c>
      <c r="P5">
        <f>HV!U5</f>
        <v>5.7253758608272924E-17</v>
      </c>
      <c r="Q5">
        <f>HV!V5</f>
        <v>6.5455659819804632E-15</v>
      </c>
      <c r="S5">
        <f t="shared" ref="S5:S25" si="0">IF(C5&lt;B5,1,0)</f>
        <v>1</v>
      </c>
      <c r="T5">
        <f t="shared" ref="T5:T19" si="1">IF(G5&lt;F5,1,0)</f>
        <v>1</v>
      </c>
      <c r="U5">
        <f t="shared" ref="U5:U19" si="2">IF(K5&lt;J5,1,0)</f>
        <v>1</v>
      </c>
      <c r="V5">
        <f t="shared" ref="V5:V19" si="3">IF(O5&lt;N5,1,0)</f>
        <v>1</v>
      </c>
    </row>
    <row r="6" spans="1:23" x14ac:dyDescent="0.25">
      <c r="A6" s="6" t="s">
        <v>7</v>
      </c>
      <c r="B6">
        <f>HV!E7</f>
        <v>1.58</v>
      </c>
      <c r="C6">
        <f>HV!E8</f>
        <v>1.42</v>
      </c>
      <c r="D6">
        <f>HV!F7</f>
        <v>0.18727045309904747</v>
      </c>
      <c r="E6">
        <f>HV!G7</f>
        <v>3.1231506166905541E-2</v>
      </c>
      <c r="F6">
        <f>HV!J7</f>
        <v>1.88</v>
      </c>
      <c r="G6">
        <f>HV!J8</f>
        <v>1.1200000000000001</v>
      </c>
      <c r="H6">
        <f>HV!K7</f>
        <v>7.2865483340903421E-8</v>
      </c>
      <c r="I6">
        <f>HV!L7</f>
        <v>1.7976266630257066E-15</v>
      </c>
      <c r="J6">
        <f>HV!O7</f>
        <v>1.92</v>
      </c>
      <c r="K6">
        <f>HV!O8</f>
        <v>1.08</v>
      </c>
      <c r="L6">
        <f>HV!P7</f>
        <v>4.8031174011008703E-12</v>
      </c>
      <c r="M6">
        <f>HV!Q7</f>
        <v>4.6770678927577978E-16</v>
      </c>
      <c r="N6">
        <f>HV!T7</f>
        <v>1.73</v>
      </c>
      <c r="O6">
        <f>HV!T8</f>
        <v>1.27</v>
      </c>
      <c r="P6">
        <f>HV!U7</f>
        <v>4.0163384429902057E-3</v>
      </c>
      <c r="Q6">
        <f>HV!V7</f>
        <v>1.9156382255094975E-7</v>
      </c>
      <c r="S6">
        <f t="shared" si="0"/>
        <v>1</v>
      </c>
      <c r="T6">
        <f t="shared" si="1"/>
        <v>1</v>
      </c>
      <c r="U6">
        <f t="shared" si="2"/>
        <v>1</v>
      </c>
      <c r="V6">
        <f t="shared" si="3"/>
        <v>1</v>
      </c>
      <c r="W6" s="8"/>
    </row>
    <row r="7" spans="1:23" x14ac:dyDescent="0.25">
      <c r="A7" s="6" t="s">
        <v>8</v>
      </c>
      <c r="B7">
        <f>HV!E9</f>
        <v>1.94</v>
      </c>
      <c r="C7">
        <f>HV!E10</f>
        <v>1.06</v>
      </c>
      <c r="D7">
        <f>HV!F9</f>
        <v>8.4481472615507952E-2</v>
      </c>
      <c r="E7">
        <f>HV!G9</f>
        <v>7.4506391112917827E-17</v>
      </c>
      <c r="F7">
        <f>HV!J9</f>
        <v>2</v>
      </c>
      <c r="G7">
        <f>HV!J10</f>
        <v>1</v>
      </c>
      <c r="H7">
        <f>HV!K9</f>
        <v>9.2894218104689974E-16</v>
      </c>
      <c r="I7">
        <f>HV!L9</f>
        <v>3.8380873502653143E-18</v>
      </c>
      <c r="J7">
        <f>HV!O9</f>
        <v>1.95</v>
      </c>
      <c r="K7">
        <f>HV!O10</f>
        <v>1.05</v>
      </c>
      <c r="L7">
        <f>HV!P9</f>
        <v>3.2176072756828268E-9</v>
      </c>
      <c r="M7">
        <f>HV!Q9</f>
        <v>2.8846057255578021E-16</v>
      </c>
      <c r="N7">
        <f>HV!T9</f>
        <v>1.85</v>
      </c>
      <c r="O7">
        <f>HV!T10</f>
        <v>1.1499999999999999</v>
      </c>
      <c r="P7" s="24">
        <f>HV!U9</f>
        <v>3.1737761486587214E-14</v>
      </c>
      <c r="Q7">
        <f>HV!V9</f>
        <v>8.9183722715823521E-14</v>
      </c>
      <c r="R7" s="8"/>
      <c r="S7">
        <f t="shared" si="0"/>
        <v>1</v>
      </c>
      <c r="T7">
        <f t="shared" si="1"/>
        <v>1</v>
      </c>
      <c r="U7">
        <f t="shared" si="2"/>
        <v>1</v>
      </c>
      <c r="V7">
        <f t="shared" si="3"/>
        <v>1</v>
      </c>
    </row>
    <row r="8" spans="1:23" x14ac:dyDescent="0.25">
      <c r="A8" s="6" t="s">
        <v>9</v>
      </c>
      <c r="B8">
        <f>HV!E11</f>
        <v>1.95</v>
      </c>
      <c r="C8">
        <f>HV!E12</f>
        <v>1.05</v>
      </c>
      <c r="D8">
        <f>HV!F11</f>
        <v>1.4667677944493678E-4</v>
      </c>
      <c r="E8">
        <f>HV!G11</f>
        <v>4.2023751079654479E-18</v>
      </c>
      <c r="F8">
        <f>HV!J11</f>
        <v>1.87</v>
      </c>
      <c r="G8">
        <f>HV!J12</f>
        <v>1.1299999999999999</v>
      </c>
      <c r="H8">
        <f>HV!K11</f>
        <v>1.2262934052893273E-6</v>
      </c>
      <c r="I8">
        <f>HV!L11</f>
        <v>1.1256085811322934E-14</v>
      </c>
      <c r="J8">
        <f>HV!O11</f>
        <v>1.865</v>
      </c>
      <c r="K8">
        <f>HV!O12</f>
        <v>1.135</v>
      </c>
      <c r="L8">
        <f>HV!P11</f>
        <v>1.0618899222189834E-2</v>
      </c>
      <c r="M8">
        <f>HV!Q11</f>
        <v>5.281162468777795E-14</v>
      </c>
      <c r="N8">
        <f>HV!T11</f>
        <v>1.7549999999999999</v>
      </c>
      <c r="O8">
        <f>HV!T12</f>
        <v>1.2450000000000001</v>
      </c>
      <c r="P8">
        <f>HV!U11</f>
        <v>4.5121581569968654E-4</v>
      </c>
      <c r="Q8">
        <f>HV!V11</f>
        <v>4.3124152206875033E-10</v>
      </c>
      <c r="S8">
        <f t="shared" si="0"/>
        <v>1</v>
      </c>
      <c r="T8">
        <f t="shared" si="1"/>
        <v>1</v>
      </c>
      <c r="U8">
        <f t="shared" si="2"/>
        <v>1</v>
      </c>
      <c r="V8">
        <f t="shared" si="3"/>
        <v>1</v>
      </c>
    </row>
    <row r="9" spans="1:23" x14ac:dyDescent="0.25">
      <c r="A9" s="6" t="s">
        <v>10</v>
      </c>
      <c r="B9" s="23">
        <f>HV!E13</f>
        <v>1.4650000000000001</v>
      </c>
      <c r="C9" s="23">
        <f>HV!E14</f>
        <v>1.5349999999999999</v>
      </c>
      <c r="D9">
        <f>HV!F13</f>
        <v>0.20297115585941569</v>
      </c>
      <c r="E9">
        <f>HV!G13</f>
        <v>6.8147335953051447E-2</v>
      </c>
      <c r="F9">
        <f>HV!J13</f>
        <v>1.53</v>
      </c>
      <c r="G9">
        <f>HV!J14</f>
        <v>1.47</v>
      </c>
      <c r="H9">
        <f>HV!K13</f>
        <v>6.802224440136917E-2</v>
      </c>
      <c r="I9">
        <f>HV!L13</f>
        <v>0.39669026030568028</v>
      </c>
      <c r="J9">
        <f>HV!O13</f>
        <v>1.5549999999999999</v>
      </c>
      <c r="K9">
        <f>HV!O14</f>
        <v>1.4450000000000001</v>
      </c>
      <c r="L9">
        <f>HV!P13</f>
        <v>0.7221155704277199</v>
      </c>
      <c r="M9">
        <f>HV!Q13</f>
        <v>0.90829937373372938</v>
      </c>
      <c r="N9">
        <f>HV!T13</f>
        <v>1.345</v>
      </c>
      <c r="O9">
        <f>HV!T14</f>
        <v>1.655</v>
      </c>
      <c r="P9">
        <f>HV!U13</f>
        <v>9.8023675316618957E-4</v>
      </c>
      <c r="Q9">
        <f>HV!V13</f>
        <v>4.7163209299834898E-5</v>
      </c>
      <c r="S9">
        <f t="shared" si="0"/>
        <v>0</v>
      </c>
      <c r="T9">
        <f t="shared" si="1"/>
        <v>1</v>
      </c>
      <c r="U9">
        <f t="shared" si="2"/>
        <v>1</v>
      </c>
      <c r="V9">
        <f t="shared" si="3"/>
        <v>0</v>
      </c>
    </row>
    <row r="10" spans="1:23" x14ac:dyDescent="0.25">
      <c r="A10" s="6" t="s">
        <v>11</v>
      </c>
      <c r="B10">
        <f>HV!E15</f>
        <v>1.93</v>
      </c>
      <c r="C10">
        <f>HV!E16</f>
        <v>1.07</v>
      </c>
      <c r="D10">
        <f>HV!F15</f>
        <v>4.9620261119998402E-4</v>
      </c>
      <c r="E10">
        <f>HV!G15</f>
        <v>6.6319831937206715E-17</v>
      </c>
      <c r="F10">
        <f>HV!J15</f>
        <v>1.905</v>
      </c>
      <c r="G10">
        <f>HV!J16</f>
        <v>1.095</v>
      </c>
      <c r="H10">
        <f>HV!K15</f>
        <v>6.990486829082077E-4</v>
      </c>
      <c r="I10">
        <f>HV!L15</f>
        <v>2.1674037533438978E-16</v>
      </c>
      <c r="J10">
        <f>HV!O15</f>
        <v>1.91</v>
      </c>
      <c r="K10">
        <f>HV!O16</f>
        <v>1.0900000000000001</v>
      </c>
      <c r="L10">
        <f>HV!P15</f>
        <v>5.5085814044468885E-4</v>
      </c>
      <c r="M10">
        <f>HV!Q15</f>
        <v>1.4497186650751721E-16</v>
      </c>
      <c r="N10">
        <f>HV!T15</f>
        <v>1.92</v>
      </c>
      <c r="O10">
        <f>HV!T16</f>
        <v>1.08</v>
      </c>
      <c r="P10">
        <f>HV!U15</f>
        <v>3.4044912026329381E-15</v>
      </c>
      <c r="Q10">
        <f>HV!V15</f>
        <v>6.3697457878723299E-15</v>
      </c>
      <c r="S10">
        <f t="shared" si="0"/>
        <v>1</v>
      </c>
      <c r="T10">
        <f t="shared" si="1"/>
        <v>1</v>
      </c>
      <c r="U10">
        <f t="shared" si="2"/>
        <v>1</v>
      </c>
      <c r="V10">
        <f t="shared" si="3"/>
        <v>1</v>
      </c>
    </row>
    <row r="11" spans="1:23" x14ac:dyDescent="0.25">
      <c r="A11" s="6" t="s">
        <v>12</v>
      </c>
      <c r="B11">
        <f>HV!E17</f>
        <v>1.63</v>
      </c>
      <c r="C11">
        <f>HV!E18</f>
        <v>1.37</v>
      </c>
      <c r="D11">
        <f>HV!F17</f>
        <v>2.2497169932566848E-2</v>
      </c>
      <c r="E11">
        <f>HV!G17</f>
        <v>7.3583852370980151E-3</v>
      </c>
      <c r="F11">
        <f>HV!J17</f>
        <v>1.68</v>
      </c>
      <c r="G11">
        <f>HV!J18</f>
        <v>1.32</v>
      </c>
      <c r="H11">
        <f>HV!K17</f>
        <v>4.3157957881000938E-4</v>
      </c>
      <c r="I11">
        <f>HV!L17</f>
        <v>7.1648002168263682E-6</v>
      </c>
      <c r="J11">
        <f>HV!O17</f>
        <v>1.77</v>
      </c>
      <c r="K11">
        <f>HV!O18</f>
        <v>1.23</v>
      </c>
      <c r="L11">
        <f>HV!P17</f>
        <v>1.1969307755022636E-9</v>
      </c>
      <c r="M11">
        <f>HV!Q17</f>
        <v>3.5364828129471137E-10</v>
      </c>
      <c r="N11">
        <f>HV!T17</f>
        <v>1.95</v>
      </c>
      <c r="O11">
        <f>HV!T18</f>
        <v>1.05</v>
      </c>
      <c r="P11">
        <f>HV!U17</f>
        <v>1.6422763455919663E-30</v>
      </c>
      <c r="Q11">
        <f>HV!V17</f>
        <v>1.9898965064226015E-17</v>
      </c>
      <c r="S11">
        <f t="shared" si="0"/>
        <v>1</v>
      </c>
      <c r="T11">
        <f t="shared" si="1"/>
        <v>1</v>
      </c>
      <c r="U11">
        <f t="shared" si="2"/>
        <v>1</v>
      </c>
      <c r="V11">
        <f t="shared" si="3"/>
        <v>1</v>
      </c>
    </row>
    <row r="12" spans="1:23" x14ac:dyDescent="0.25">
      <c r="A12" s="6" t="s">
        <v>13</v>
      </c>
      <c r="B12">
        <f>HV!E19</f>
        <v>1.6</v>
      </c>
      <c r="C12">
        <f>HV!E20</f>
        <v>1.4</v>
      </c>
      <c r="D12">
        <f>HV!F19</f>
        <v>0.59318608493979974</v>
      </c>
      <c r="E12">
        <f>HV!G19</f>
        <v>4.7457501491411286E-2</v>
      </c>
      <c r="F12">
        <f>HV!J19</f>
        <v>1.62</v>
      </c>
      <c r="G12">
        <f>HV!J20</f>
        <v>1.38</v>
      </c>
      <c r="H12">
        <f>HV!K19</f>
        <v>0.15150809687248043</v>
      </c>
      <c r="I12">
        <f>HV!L19</f>
        <v>1.6167676853910417E-2</v>
      </c>
      <c r="J12">
        <f>HV!O19</f>
        <v>1.76</v>
      </c>
      <c r="K12">
        <f>HV!O20</f>
        <v>1.24</v>
      </c>
      <c r="L12">
        <f>HV!P19</f>
        <v>0.32858617776601518</v>
      </c>
      <c r="M12">
        <f>HV!Q19</f>
        <v>7.2813205807790812E-6</v>
      </c>
      <c r="N12">
        <f>HV!T19</f>
        <v>1.94</v>
      </c>
      <c r="O12">
        <f>HV!T20</f>
        <v>1.06</v>
      </c>
      <c r="P12">
        <f>HV!U19</f>
        <v>1.9193079291205603E-2</v>
      </c>
      <c r="Q12">
        <f>HV!V19</f>
        <v>1.5136220602885989E-14</v>
      </c>
      <c r="S12">
        <f t="shared" si="0"/>
        <v>1</v>
      </c>
      <c r="T12">
        <f t="shared" si="1"/>
        <v>1</v>
      </c>
      <c r="U12">
        <f t="shared" si="2"/>
        <v>1</v>
      </c>
      <c r="V12">
        <f t="shared" si="3"/>
        <v>1</v>
      </c>
    </row>
    <row r="13" spans="1:23" x14ac:dyDescent="0.25">
      <c r="A13" s="6" t="s">
        <v>14</v>
      </c>
      <c r="B13">
        <f>HV!E21</f>
        <v>1.61</v>
      </c>
      <c r="C13">
        <f>HV!E22</f>
        <v>1.39</v>
      </c>
      <c r="D13">
        <f>HV!F21</f>
        <v>3.037578870056179E-3</v>
      </c>
      <c r="E13">
        <f>HV!G21</f>
        <v>2.3834369621771141E-3</v>
      </c>
      <c r="F13">
        <f>HV!J21</f>
        <v>1.78</v>
      </c>
      <c r="G13">
        <f>HV!J22</f>
        <v>1.22</v>
      </c>
      <c r="H13">
        <f>HV!K21</f>
        <v>1.042087010518501E-9</v>
      </c>
      <c r="I13">
        <f>HV!L21</f>
        <v>1.0083187494742594E-12</v>
      </c>
      <c r="J13">
        <f>HV!O21</f>
        <v>1.855</v>
      </c>
      <c r="K13">
        <f>HV!O22</f>
        <v>1.145</v>
      </c>
      <c r="L13">
        <f>HV!P21</f>
        <v>4.949808542019562E-3</v>
      </c>
      <c r="M13">
        <f>HV!Q21</f>
        <v>1.317124514406297E-13</v>
      </c>
      <c r="N13">
        <f>HV!T21</f>
        <v>1.8</v>
      </c>
      <c r="O13">
        <f>HV!T22</f>
        <v>1.2</v>
      </c>
      <c r="P13">
        <f>HV!U21</f>
        <v>3.3526089822467427E-8</v>
      </c>
      <c r="Q13">
        <f>HV!V21</f>
        <v>3.0289048135238694E-10</v>
      </c>
      <c r="S13">
        <f t="shared" si="0"/>
        <v>1</v>
      </c>
      <c r="T13">
        <f t="shared" si="1"/>
        <v>1</v>
      </c>
      <c r="U13">
        <f t="shared" si="2"/>
        <v>1</v>
      </c>
      <c r="V13">
        <f t="shared" si="3"/>
        <v>1</v>
      </c>
    </row>
    <row r="14" spans="1:23" x14ac:dyDescent="0.25">
      <c r="A14" s="6" t="s">
        <v>15</v>
      </c>
      <c r="B14">
        <f>HV!E23</f>
        <v>1.85</v>
      </c>
      <c r="C14">
        <f>HV!E24</f>
        <v>1.1499999999999999</v>
      </c>
      <c r="D14">
        <f>HV!F23</f>
        <v>1.4722006461330491E-9</v>
      </c>
      <c r="E14">
        <f>HV!G23</f>
        <v>6.7512966986990489E-13</v>
      </c>
      <c r="F14">
        <f>HV!J23</f>
        <v>1.93</v>
      </c>
      <c r="G14">
        <f>HV!J24</f>
        <v>1.07</v>
      </c>
      <c r="H14">
        <f>HV!K23</f>
        <v>1.7596049127337388E-15</v>
      </c>
      <c r="I14">
        <f>HV!L23</f>
        <v>1.6740748004126485E-16</v>
      </c>
      <c r="J14">
        <f>HV!O23</f>
        <v>1.74</v>
      </c>
      <c r="K14">
        <f>HV!O24</f>
        <v>1.26</v>
      </c>
      <c r="L14">
        <f>HV!P23</f>
        <v>2.1287376312238005E-4</v>
      </c>
      <c r="M14">
        <f>HV!Q23</f>
        <v>2.0683051299390148E-8</v>
      </c>
      <c r="N14">
        <f>HV!T23</f>
        <v>1.68</v>
      </c>
      <c r="O14">
        <f>HV!T24</f>
        <v>1.32</v>
      </c>
      <c r="P14">
        <f>HV!U23</f>
        <v>8.2700132640569637E-4</v>
      </c>
      <c r="Q14">
        <f>HV!V23</f>
        <v>5.3882498051656402E-4</v>
      </c>
      <c r="S14">
        <f t="shared" si="0"/>
        <v>1</v>
      </c>
      <c r="T14">
        <f t="shared" si="1"/>
        <v>1</v>
      </c>
      <c r="U14">
        <f t="shared" si="2"/>
        <v>1</v>
      </c>
      <c r="V14">
        <f t="shared" si="3"/>
        <v>1</v>
      </c>
    </row>
    <row r="15" spans="1:23" x14ac:dyDescent="0.25">
      <c r="A15" s="6" t="s">
        <v>16</v>
      </c>
      <c r="B15">
        <f>HV!E25</f>
        <v>1.93</v>
      </c>
      <c r="C15">
        <f>HV!E26</f>
        <v>1.07</v>
      </c>
      <c r="D15">
        <f>HV!F25</f>
        <v>1.4190322463226675E-4</v>
      </c>
      <c r="E15">
        <f>HV!G25</f>
        <v>8.8688377720032203E-17</v>
      </c>
      <c r="F15">
        <f>HV!J25</f>
        <v>1.93</v>
      </c>
      <c r="G15">
        <f>HV!J26</f>
        <v>1.07</v>
      </c>
      <c r="H15">
        <f>HV!K25</f>
        <v>1.272679419307536E-7</v>
      </c>
      <c r="I15">
        <f>HV!L25</f>
        <v>1.9002469121499061E-15</v>
      </c>
      <c r="J15">
        <f>HV!O25</f>
        <v>1.82</v>
      </c>
      <c r="K15">
        <f>HV!O26</f>
        <v>1.18</v>
      </c>
      <c r="L15">
        <f>HV!P25</f>
        <v>5.0375287848989644E-7</v>
      </c>
      <c r="M15">
        <f>HV!Q25</f>
        <v>2.4251358478471763E-10</v>
      </c>
      <c r="N15">
        <f>HV!T25</f>
        <v>1.59</v>
      </c>
      <c r="O15">
        <f>HV!T26</f>
        <v>1.41</v>
      </c>
      <c r="P15">
        <f>HV!U25</f>
        <v>8.7070494360262513E-3</v>
      </c>
      <c r="Q15">
        <f>HV!V25</f>
        <v>1.8595939397739625E-2</v>
      </c>
      <c r="R15" s="8"/>
      <c r="S15">
        <f t="shared" si="0"/>
        <v>1</v>
      </c>
      <c r="T15">
        <f t="shared" si="1"/>
        <v>1</v>
      </c>
      <c r="U15">
        <f t="shared" si="2"/>
        <v>1</v>
      </c>
      <c r="V15">
        <f t="shared" si="3"/>
        <v>1</v>
      </c>
    </row>
    <row r="16" spans="1:23" x14ac:dyDescent="0.25">
      <c r="A16" s="6" t="s">
        <v>17</v>
      </c>
      <c r="B16" s="23">
        <f>HV!E27</f>
        <v>1.43</v>
      </c>
      <c r="C16" s="23">
        <f>HV!E28</f>
        <v>1.57</v>
      </c>
      <c r="D16">
        <f>HV!F27</f>
        <v>0.84195389957761646</v>
      </c>
      <c r="E16">
        <f>HV!G27</f>
        <v>0.51246718573662997</v>
      </c>
      <c r="F16">
        <f>HV!J27</f>
        <v>1.77</v>
      </c>
      <c r="G16">
        <f>HV!J28</f>
        <v>1.23</v>
      </c>
      <c r="H16">
        <f>HV!K27</f>
        <v>1.593966382643573E-5</v>
      </c>
      <c r="I16">
        <f>HV!L27</f>
        <v>2.651039221060406E-10</v>
      </c>
      <c r="J16">
        <f>HV!O27</f>
        <v>1.76</v>
      </c>
      <c r="K16">
        <f>HV!O28</f>
        <v>1.24</v>
      </c>
      <c r="L16">
        <f>HV!P27</f>
        <v>2.3552354595689566E-6</v>
      </c>
      <c r="M16">
        <f>HV!Q27</f>
        <v>7.1988553135493855E-8</v>
      </c>
      <c r="N16" s="23">
        <f>HV!T27</f>
        <v>1.45</v>
      </c>
      <c r="O16" s="23">
        <f>HV!T28</f>
        <v>1.55</v>
      </c>
      <c r="P16">
        <f>HV!U27</f>
        <v>1.0318185109636658E-2</v>
      </c>
      <c r="Q16">
        <f>HV!V27</f>
        <v>1.2491627802950038E-2</v>
      </c>
      <c r="S16">
        <f t="shared" si="0"/>
        <v>0</v>
      </c>
      <c r="T16">
        <f t="shared" si="1"/>
        <v>1</v>
      </c>
      <c r="U16">
        <f t="shared" si="2"/>
        <v>1</v>
      </c>
      <c r="V16">
        <f t="shared" si="3"/>
        <v>0</v>
      </c>
    </row>
    <row r="17" spans="1:24" x14ac:dyDescent="0.25">
      <c r="A17" s="6" t="s">
        <v>18</v>
      </c>
      <c r="B17">
        <f>HV!E29</f>
        <v>1.875</v>
      </c>
      <c r="C17">
        <f>HV!E30</f>
        <v>1.125</v>
      </c>
      <c r="D17">
        <f>HV!F29</f>
        <v>1.338829973595619E-5</v>
      </c>
      <c r="E17">
        <f>HV!G29</f>
        <v>7.7734256797095514E-16</v>
      </c>
      <c r="F17">
        <f>HV!J29</f>
        <v>1.94</v>
      </c>
      <c r="G17">
        <f>HV!J30</f>
        <v>1.06</v>
      </c>
      <c r="H17">
        <f>HV!K29</f>
        <v>5.5458672262625494E-14</v>
      </c>
      <c r="I17">
        <f>HV!L29</f>
        <v>5.9021772052104053E-17</v>
      </c>
      <c r="J17">
        <f>HV!O29</f>
        <v>1.93</v>
      </c>
      <c r="K17">
        <f>HV!O30</f>
        <v>1.07</v>
      </c>
      <c r="L17">
        <f>HV!P29</f>
        <v>2.3320996734876835E-5</v>
      </c>
      <c r="M17">
        <f>HV!Q29</f>
        <v>1.7004690306981196E-15</v>
      </c>
      <c r="N17">
        <f>HV!T29</f>
        <v>1.81</v>
      </c>
      <c r="O17">
        <f>HV!T30</f>
        <v>1.19</v>
      </c>
      <c r="P17">
        <f>HV!U29</f>
        <v>3.3522742068774792E-10</v>
      </c>
      <c r="Q17">
        <f>HV!V29</f>
        <v>1.1549381729187004E-10</v>
      </c>
      <c r="R17" s="8"/>
      <c r="S17">
        <f t="shared" si="0"/>
        <v>1</v>
      </c>
      <c r="T17">
        <f t="shared" si="1"/>
        <v>1</v>
      </c>
      <c r="U17">
        <f t="shared" si="2"/>
        <v>1</v>
      </c>
      <c r="V17">
        <f t="shared" si="3"/>
        <v>1</v>
      </c>
    </row>
    <row r="18" spans="1:24" x14ac:dyDescent="0.25">
      <c r="A18" s="6" t="s">
        <v>19</v>
      </c>
      <c r="B18">
        <f>HV!E31</f>
        <v>1.85</v>
      </c>
      <c r="C18">
        <f>HV!E32</f>
        <v>1.1499999999999999</v>
      </c>
      <c r="D18">
        <f>HV!F31</f>
        <v>4.3188238154850912E-4</v>
      </c>
      <c r="E18">
        <f>HV!G31</f>
        <v>7.9173773365793064E-15</v>
      </c>
      <c r="F18">
        <f>HV!J31</f>
        <v>1.94</v>
      </c>
      <c r="G18">
        <f>HV!J32</f>
        <v>1.06</v>
      </c>
      <c r="H18">
        <f>HV!K31</f>
        <v>2.2154554670184519E-9</v>
      </c>
      <c r="I18">
        <f>HV!L31</f>
        <v>3.3021918186979379E-15</v>
      </c>
      <c r="J18">
        <f>HV!O31</f>
        <v>1.87</v>
      </c>
      <c r="K18">
        <f>HV!O32</f>
        <v>1.1299999999999999</v>
      </c>
      <c r="L18">
        <f>HV!P31</f>
        <v>2.6990279647000612E-5</v>
      </c>
      <c r="M18">
        <f>HV!Q31</f>
        <v>2.6398431800227363E-13</v>
      </c>
      <c r="N18">
        <f>HV!T31</f>
        <v>1.74</v>
      </c>
      <c r="O18">
        <f>HV!T32</f>
        <v>1.26</v>
      </c>
      <c r="P18">
        <f>HV!U31</f>
        <v>2.0279917669368385E-9</v>
      </c>
      <c r="Q18">
        <f>HV!V31</f>
        <v>4.3333195100669129E-9</v>
      </c>
      <c r="S18">
        <f t="shared" si="0"/>
        <v>1</v>
      </c>
      <c r="T18">
        <f t="shared" si="1"/>
        <v>1</v>
      </c>
      <c r="U18">
        <f t="shared" si="2"/>
        <v>1</v>
      </c>
      <c r="V18">
        <f t="shared" si="3"/>
        <v>1</v>
      </c>
    </row>
    <row r="19" spans="1:24" x14ac:dyDescent="0.25">
      <c r="A19" s="6" t="s">
        <v>20</v>
      </c>
      <c r="B19" s="23">
        <f>HV!E33</f>
        <v>1.63</v>
      </c>
      <c r="C19" s="23">
        <f>HV!E34</f>
        <v>1.37</v>
      </c>
      <c r="D19">
        <f>HV!F33</f>
        <v>1.1041556350833939E-2</v>
      </c>
      <c r="E19">
        <f>HV!G33</f>
        <v>5.7326480712108106E-3</v>
      </c>
      <c r="F19">
        <f>HV!J33</f>
        <v>1.87</v>
      </c>
      <c r="G19">
        <f>HV!J34</f>
        <v>1.1299999999999999</v>
      </c>
      <c r="H19">
        <f>HV!K33</f>
        <v>5.7756301587018245E-9</v>
      </c>
      <c r="I19">
        <f>HV!L33</f>
        <v>2.9200624756882371E-12</v>
      </c>
      <c r="J19">
        <f>HV!O33</f>
        <v>1.86</v>
      </c>
      <c r="K19">
        <f>HV!O34</f>
        <v>1.1399999999999999</v>
      </c>
      <c r="L19">
        <f>HV!P33</f>
        <v>1.1456941173955476E-8</v>
      </c>
      <c r="M19">
        <f>HV!Q33</f>
        <v>2.5206661223670366E-12</v>
      </c>
      <c r="N19">
        <f>HV!T33</f>
        <v>1.57</v>
      </c>
      <c r="O19">
        <f>HV!T34</f>
        <v>1.43</v>
      </c>
      <c r="P19">
        <f>HV!U33</f>
        <v>0.46670501596030201</v>
      </c>
      <c r="Q19">
        <f>HV!V33</f>
        <v>0.17170865736685711</v>
      </c>
      <c r="R19" s="8"/>
      <c r="S19">
        <f t="shared" si="0"/>
        <v>1</v>
      </c>
      <c r="T19">
        <f t="shared" si="1"/>
        <v>1</v>
      </c>
      <c r="U19">
        <f t="shared" si="2"/>
        <v>1</v>
      </c>
      <c r="V19">
        <f t="shared" si="3"/>
        <v>1</v>
      </c>
    </row>
    <row r="20" spans="1:24" x14ac:dyDescent="0.25">
      <c r="A20" s="6" t="s">
        <v>31</v>
      </c>
      <c r="B20">
        <f>HV!E35</f>
        <v>1.9950000000000001</v>
      </c>
      <c r="C20">
        <f>HV!E36</f>
        <v>1.0049999999999999</v>
      </c>
      <c r="D20">
        <f>HV!F35</f>
        <v>6.7857190395761681E-6</v>
      </c>
      <c r="E20">
        <f>HV!G35</f>
        <v>3.8380873502653143E-18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S20">
        <f t="shared" si="0"/>
        <v>1</v>
      </c>
    </row>
    <row r="21" spans="1:24" x14ac:dyDescent="0.25">
      <c r="A21" s="6" t="s">
        <v>32</v>
      </c>
      <c r="B21">
        <f>HV!E37</f>
        <v>1.9650000000000001</v>
      </c>
      <c r="C21">
        <f>HV!E38</f>
        <v>1.0349999999999999</v>
      </c>
      <c r="D21">
        <f>HV!F37</f>
        <v>4.3980839163562378E-5</v>
      </c>
      <c r="E21">
        <f>HV!G37</f>
        <v>5.0363722610573444E-18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S21">
        <f t="shared" si="0"/>
        <v>1</v>
      </c>
    </row>
    <row r="22" spans="1:24" x14ac:dyDescent="0.25">
      <c r="A22" s="6" t="s">
        <v>34</v>
      </c>
      <c r="B22">
        <f>HV!E39</f>
        <v>1.86</v>
      </c>
      <c r="C22">
        <f>HV!E40</f>
        <v>1.1399999999999999</v>
      </c>
      <c r="D22">
        <f>HV!F39</f>
        <v>0.17368568608896456</v>
      </c>
      <c r="E22">
        <f>HV!G39</f>
        <v>8.8244897620700609E-15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S22">
        <f t="shared" si="0"/>
        <v>1</v>
      </c>
    </row>
    <row r="23" spans="1:24" x14ac:dyDescent="0.25">
      <c r="A23" s="6" t="s">
        <v>33</v>
      </c>
      <c r="B23">
        <f>HV!E41</f>
        <v>1.7</v>
      </c>
      <c r="C23">
        <f>HV!E42</f>
        <v>1.3</v>
      </c>
      <c r="D23">
        <f>HV!F41</f>
        <v>3.1729992631601277E-4</v>
      </c>
      <c r="E23">
        <f>HV!G41</f>
        <v>1.4414741585209142E-5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S23">
        <f t="shared" si="0"/>
        <v>1</v>
      </c>
    </row>
    <row r="24" spans="1:24" x14ac:dyDescent="0.25">
      <c r="A24" s="6" t="s">
        <v>35</v>
      </c>
      <c r="B24">
        <f>HV!E43</f>
        <v>1.4</v>
      </c>
      <c r="C24">
        <f>HV!E44</f>
        <v>1.6</v>
      </c>
      <c r="D24">
        <f>HV!F43</f>
        <v>0.47037770274353813</v>
      </c>
      <c r="E24" s="24">
        <f>HV!G43</f>
        <v>3.5808322912072109E-2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S24">
        <f t="shared" si="0"/>
        <v>0</v>
      </c>
    </row>
    <row r="25" spans="1:24" x14ac:dyDescent="0.25">
      <c r="A25" s="6" t="s">
        <v>36</v>
      </c>
      <c r="B25">
        <f>HV!E45</f>
        <v>1.88</v>
      </c>
      <c r="C25">
        <f>HV!E46</f>
        <v>1.1200000000000001</v>
      </c>
      <c r="D25">
        <f>HV!F45</f>
        <v>4.2132045845676758E-5</v>
      </c>
      <c r="E25">
        <f>HV!G45</f>
        <v>3.5861347307909937E-15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S25">
        <f t="shared" si="0"/>
        <v>1</v>
      </c>
    </row>
    <row r="27" spans="1:24" x14ac:dyDescent="0.25">
      <c r="R27" s="8"/>
      <c r="T27" s="8"/>
      <c r="V27" s="8"/>
      <c r="X27" s="8"/>
    </row>
    <row r="28" spans="1:24" x14ac:dyDescent="0.25">
      <c r="B28">
        <f>AVERAGE(B4:B25,F4:F19,J4:J19,N4:N19)</f>
        <v>1.796214285714286</v>
      </c>
      <c r="C28">
        <f>AVERAGE(C4:C25,G4:G19,K4:K19,O4:O19)</f>
        <v>1.2037857142857145</v>
      </c>
    </row>
    <row r="29" spans="1:24" x14ac:dyDescent="0.25">
      <c r="B29">
        <f>SUM(B4:B25,F4:F19,J4:J19,N4:N19)*100</f>
        <v>12573.500000000002</v>
      </c>
      <c r="C29">
        <f>SUM(C4:C25,G4:G19,K4:K19,O4:O19)*100</f>
        <v>8426.5000000000018</v>
      </c>
      <c r="D29">
        <f>B29+C29</f>
        <v>21000.000000000004</v>
      </c>
      <c r="R29" s="8"/>
      <c r="T29" s="8"/>
      <c r="V29" s="8"/>
      <c r="X29" s="8"/>
    </row>
    <row r="31" spans="1:24" x14ac:dyDescent="0.25">
      <c r="R31" s="8"/>
      <c r="T31" s="8"/>
      <c r="V31" s="8"/>
      <c r="X31" s="8"/>
    </row>
    <row r="33" spans="18:24" x14ac:dyDescent="0.25">
      <c r="R33" s="8"/>
      <c r="T33" s="8"/>
      <c r="V33" s="8"/>
      <c r="X33" s="8"/>
    </row>
    <row r="35" spans="18:24" x14ac:dyDescent="0.25">
      <c r="R35" s="8"/>
      <c r="T35" s="8"/>
      <c r="V35" s="8"/>
      <c r="X35" s="8"/>
    </row>
    <row r="37" spans="18:24" x14ac:dyDescent="0.25">
      <c r="R37" s="8"/>
      <c r="T37" s="8"/>
      <c r="V37" s="8"/>
      <c r="X37" s="8"/>
    </row>
  </sheetData>
  <conditionalFormatting sqref="H4:I6 L4:M19 P4:Q19 D4:E25 I7 H8:I19">
    <cfRule type="cellIs" dxfId="0" priority="1" operator="lessThan">
      <formula>0.05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F2632-4CD2-4AB0-BB87-C7CCF68904C3}">
  <dimension ref="A1:V51"/>
  <sheetViews>
    <sheetView zoomScaleNormal="100" workbookViewId="0">
      <selection activeCell="AC8" sqref="AC8"/>
    </sheetView>
  </sheetViews>
  <sheetFormatPr defaultRowHeight="15" x14ac:dyDescent="0.25"/>
  <cols>
    <col min="5" max="5" width="14" bestFit="1" customWidth="1"/>
    <col min="6" max="6" width="12.42578125" bestFit="1" customWidth="1"/>
    <col min="7" max="7" width="9.85546875" bestFit="1" customWidth="1"/>
  </cols>
  <sheetData>
    <row r="1" spans="1:22" x14ac:dyDescent="0.25">
      <c r="A1" s="6" t="s">
        <v>6</v>
      </c>
      <c r="B1" s="6" t="s">
        <v>23</v>
      </c>
      <c r="C1" s="1" t="s">
        <v>24</v>
      </c>
      <c r="D1" s="5"/>
      <c r="E1" s="5"/>
      <c r="F1" s="5"/>
      <c r="G1" s="5"/>
      <c r="H1" s="1" t="s">
        <v>25</v>
      </c>
      <c r="I1" s="5"/>
      <c r="J1" s="5"/>
      <c r="K1" s="5"/>
      <c r="L1" s="5"/>
      <c r="M1" s="1" t="s">
        <v>26</v>
      </c>
      <c r="N1" s="5"/>
      <c r="O1" s="5"/>
      <c r="P1" s="5"/>
      <c r="Q1" s="5"/>
      <c r="R1" s="7" t="s">
        <v>27</v>
      </c>
      <c r="S1" s="19"/>
      <c r="T1" s="19"/>
      <c r="U1" s="19"/>
      <c r="V1" s="9"/>
    </row>
    <row r="2" spans="1:22" x14ac:dyDescent="0.25">
      <c r="A2" s="6" t="s">
        <v>21</v>
      </c>
      <c r="B2" s="1" t="s">
        <v>22</v>
      </c>
      <c r="C2" s="1" t="s">
        <v>4</v>
      </c>
      <c r="D2" s="5" t="s">
        <v>5</v>
      </c>
      <c r="E2" s="5" t="s">
        <v>28</v>
      </c>
      <c r="F2" s="2" t="s">
        <v>37</v>
      </c>
      <c r="G2" s="2" t="s">
        <v>38</v>
      </c>
      <c r="H2" s="5" t="s">
        <v>4</v>
      </c>
      <c r="I2" s="5" t="s">
        <v>5</v>
      </c>
      <c r="J2" s="5" t="s">
        <v>28</v>
      </c>
      <c r="K2" s="2" t="s">
        <v>37</v>
      </c>
      <c r="L2" s="2" t="s">
        <v>38</v>
      </c>
      <c r="M2" s="1" t="s">
        <v>4</v>
      </c>
      <c r="N2" s="5" t="s">
        <v>5</v>
      </c>
      <c r="O2" s="5" t="s">
        <v>28</v>
      </c>
      <c r="P2" s="2" t="s">
        <v>37</v>
      </c>
      <c r="Q2" s="5" t="s">
        <v>38</v>
      </c>
      <c r="R2" s="7" t="s">
        <v>4</v>
      </c>
      <c r="S2" s="19" t="s">
        <v>5</v>
      </c>
      <c r="T2" s="19" t="s">
        <v>28</v>
      </c>
      <c r="U2" s="19" t="s">
        <v>37</v>
      </c>
      <c r="V2" s="9" t="s">
        <v>38</v>
      </c>
    </row>
    <row r="3" spans="1:22" x14ac:dyDescent="0.25">
      <c r="A3" s="1" t="s">
        <v>0</v>
      </c>
      <c r="B3" s="1" t="s">
        <v>3</v>
      </c>
      <c r="C3" s="21">
        <v>0.28483312281816192</v>
      </c>
      <c r="D3" s="21">
        <v>8.0448960303404787E-2</v>
      </c>
      <c r="E3" s="21">
        <v>1.635</v>
      </c>
      <c r="F3" s="22">
        <v>1.2973536659001769E-4</v>
      </c>
      <c r="G3" s="21">
        <v>8.2809677122200005E-6</v>
      </c>
      <c r="H3" s="22">
        <v>0.54502844426808195</v>
      </c>
      <c r="I3" s="22">
        <v>8.2944835023253727E-2</v>
      </c>
      <c r="J3" s="21">
        <v>2</v>
      </c>
      <c r="K3" s="22">
        <v>3.7526899551493382E-18</v>
      </c>
      <c r="L3" s="21">
        <v>3.8380873502653143E-18</v>
      </c>
      <c r="M3" s="21">
        <v>0.98640383077698712</v>
      </c>
      <c r="N3" s="21">
        <v>0.10953235184712903</v>
      </c>
      <c r="O3" s="21">
        <v>1.96</v>
      </c>
      <c r="P3" s="22">
        <v>2.7825963156727104E-17</v>
      </c>
      <c r="Q3" s="21">
        <v>1.0041880547516728E-17</v>
      </c>
      <c r="R3" s="22">
        <v>1.3543222310267089</v>
      </c>
      <c r="S3" s="22">
        <v>8.3273012269463556E-2</v>
      </c>
      <c r="T3" s="21">
        <v>1.99</v>
      </c>
      <c r="U3" s="22">
        <v>8.5361604183310343E-30</v>
      </c>
      <c r="V3" s="21">
        <v>4.4639854239081199E-18</v>
      </c>
    </row>
    <row r="4" spans="1:22" x14ac:dyDescent="0.25">
      <c r="A4" s="4"/>
      <c r="B4" s="4" t="s">
        <v>2</v>
      </c>
      <c r="C4" s="21">
        <v>0.28539104093619533</v>
      </c>
      <c r="D4" s="21">
        <v>8.0908308035932824E-2</v>
      </c>
      <c r="E4" s="21">
        <v>1.365</v>
      </c>
      <c r="F4" s="22"/>
      <c r="G4" s="21"/>
      <c r="H4" s="22">
        <v>0.55255085795796177</v>
      </c>
      <c r="I4" s="22">
        <v>8.7048378457968867E-2</v>
      </c>
      <c r="J4" s="21">
        <v>1</v>
      </c>
      <c r="K4" s="22"/>
      <c r="L4" s="21"/>
      <c r="M4" s="21">
        <v>1.0001208121680529</v>
      </c>
      <c r="N4" s="21">
        <v>0.11295434488302694</v>
      </c>
      <c r="O4" s="21">
        <v>1.04</v>
      </c>
      <c r="P4" s="22"/>
      <c r="Q4" s="21"/>
      <c r="R4" s="22">
        <v>1.3803546531226849</v>
      </c>
      <c r="S4" s="22">
        <v>9.1392398302499081E-2</v>
      </c>
      <c r="T4" s="21">
        <v>1.01</v>
      </c>
      <c r="U4" s="22"/>
      <c r="V4" s="21"/>
    </row>
    <row r="5" spans="1:22" x14ac:dyDescent="0.25">
      <c r="A5" s="1" t="s">
        <v>1</v>
      </c>
      <c r="B5" s="1" t="s">
        <v>3</v>
      </c>
      <c r="C5" s="22">
        <v>0.13042075136609413</v>
      </c>
      <c r="D5" s="22">
        <v>2.5705073729459862E-2</v>
      </c>
      <c r="E5" s="22">
        <v>1.94</v>
      </c>
      <c r="F5" s="21">
        <v>4.3448592562434017E-4</v>
      </c>
      <c r="G5" s="22">
        <v>1.3132815175954596E-17</v>
      </c>
      <c r="H5" s="21">
        <v>0.22853426257810713</v>
      </c>
      <c r="I5" s="21">
        <v>6.6585595836048186E-2</v>
      </c>
      <c r="J5" s="22">
        <v>1.96</v>
      </c>
      <c r="K5" s="21">
        <v>4.5800532615635368E-5</v>
      </c>
      <c r="L5" s="22">
        <v>1.1508919314503629E-16</v>
      </c>
      <c r="M5" s="22">
        <v>0.5395930678057228</v>
      </c>
      <c r="N5" s="22">
        <v>0.11742460220666964</v>
      </c>
      <c r="O5" s="22">
        <v>1.95</v>
      </c>
      <c r="P5" s="21">
        <v>5.7593833260742951E-6</v>
      </c>
      <c r="Q5" s="22">
        <v>2.0086317842650863E-15</v>
      </c>
      <c r="R5" s="21">
        <v>0.89138941381778525</v>
      </c>
      <c r="S5" s="21">
        <v>0.12875918805042411</v>
      </c>
      <c r="T5" s="22">
        <v>1.89</v>
      </c>
      <c r="U5" s="21">
        <v>5.7253758608272924E-17</v>
      </c>
      <c r="V5" s="22">
        <v>6.5455659819804632E-15</v>
      </c>
    </row>
    <row r="6" spans="1:22" x14ac:dyDescent="0.25">
      <c r="A6" s="3"/>
      <c r="B6" s="3" t="s">
        <v>2</v>
      </c>
      <c r="C6" s="22">
        <v>0.13084309824964471</v>
      </c>
      <c r="D6" s="22">
        <v>2.654046544513107E-2</v>
      </c>
      <c r="E6" s="22">
        <v>1.06</v>
      </c>
      <c r="F6" s="21"/>
      <c r="G6" s="22"/>
      <c r="H6" s="21">
        <v>0.23370601403539337</v>
      </c>
      <c r="I6" s="21">
        <v>7.0605737731390228E-2</v>
      </c>
      <c r="J6" s="22">
        <v>1.04</v>
      </c>
      <c r="K6" s="21"/>
      <c r="L6" s="22"/>
      <c r="M6" s="22">
        <v>0.55178272324802369</v>
      </c>
      <c r="N6" s="22">
        <v>0.11989710979603088</v>
      </c>
      <c r="O6" s="22">
        <v>1.05</v>
      </c>
      <c r="P6" s="21"/>
      <c r="Q6" s="22"/>
      <c r="R6" s="21">
        <v>0.91343284137338943</v>
      </c>
      <c r="S6" s="21">
        <v>0.13754408117805295</v>
      </c>
      <c r="T6" s="22">
        <v>1.1100000000000001</v>
      </c>
      <c r="U6" s="21"/>
      <c r="V6" s="22"/>
    </row>
    <row r="7" spans="1:22" x14ac:dyDescent="0.25">
      <c r="A7" s="1" t="s">
        <v>7</v>
      </c>
      <c r="B7" s="1" t="s">
        <v>3</v>
      </c>
      <c r="C7" s="21">
        <v>0.12802011915978012</v>
      </c>
      <c r="D7" s="21">
        <v>2.8807252041315904E-2</v>
      </c>
      <c r="E7" s="21">
        <v>1.58</v>
      </c>
      <c r="F7" s="22">
        <v>0.18727045309904747</v>
      </c>
      <c r="G7" s="21">
        <v>3.1231506166905541E-2</v>
      </c>
      <c r="H7" s="22">
        <v>0.22554138247104979</v>
      </c>
      <c r="I7" s="22">
        <v>6.5795124827011095E-2</v>
      </c>
      <c r="J7" s="21">
        <v>1.88</v>
      </c>
      <c r="K7" s="22">
        <v>7.2865483340903421E-8</v>
      </c>
      <c r="L7" s="21">
        <v>1.7976266630257066E-15</v>
      </c>
      <c r="M7" s="21">
        <v>0.53444589917819496</v>
      </c>
      <c r="N7" s="21">
        <v>0.1157632732857436</v>
      </c>
      <c r="O7" s="21">
        <v>1.92</v>
      </c>
      <c r="P7" s="22">
        <v>4.8031174011008703E-12</v>
      </c>
      <c r="Q7" s="21">
        <v>4.6770678927577978E-16</v>
      </c>
      <c r="R7" s="22">
        <v>0.83849768829876692</v>
      </c>
      <c r="S7" s="22">
        <v>0.21259442895164782</v>
      </c>
      <c r="T7" s="21">
        <v>1.73</v>
      </c>
      <c r="U7" s="22">
        <v>4.0163384429902057E-3</v>
      </c>
      <c r="V7" s="21">
        <v>1.9156382255094975E-7</v>
      </c>
    </row>
    <row r="8" spans="1:22" x14ac:dyDescent="0.25">
      <c r="A8" s="3"/>
      <c r="B8" s="3" t="s">
        <v>2</v>
      </c>
      <c r="C8" s="21">
        <v>0.12940192762009783</v>
      </c>
      <c r="D8" s="21">
        <v>2.6685402633057225E-2</v>
      </c>
      <c r="E8" s="21">
        <v>1.42</v>
      </c>
      <c r="F8" s="22"/>
      <c r="G8" s="21"/>
      <c r="H8" s="22">
        <v>0.23201506669152597</v>
      </c>
      <c r="I8" s="22">
        <v>7.0423651678206453E-2</v>
      </c>
      <c r="J8" s="21">
        <v>1.1200000000000001</v>
      </c>
      <c r="K8" s="22"/>
      <c r="L8" s="21"/>
      <c r="M8" s="21">
        <v>0.54801358415129886</v>
      </c>
      <c r="N8" s="21">
        <v>0.12044167097758415</v>
      </c>
      <c r="O8" s="21">
        <v>1.08</v>
      </c>
      <c r="P8" s="22"/>
      <c r="Q8" s="21"/>
      <c r="R8" s="22">
        <v>0.8992892719583202</v>
      </c>
      <c r="S8" s="22">
        <v>0.13571010412727719</v>
      </c>
      <c r="T8" s="21">
        <v>1.27</v>
      </c>
      <c r="U8" s="22"/>
      <c r="V8" s="21"/>
    </row>
    <row r="9" spans="1:22" x14ac:dyDescent="0.25">
      <c r="A9" s="1" t="s">
        <v>8</v>
      </c>
      <c r="B9" s="1" t="s">
        <v>3</v>
      </c>
      <c r="C9" s="22">
        <v>0.1305504744668938</v>
      </c>
      <c r="D9" s="22">
        <v>2.6155384969302507E-2</v>
      </c>
      <c r="E9" s="22">
        <v>1.94</v>
      </c>
      <c r="F9" s="21">
        <v>8.4481472615507952E-2</v>
      </c>
      <c r="G9" s="22">
        <v>7.4506391112917827E-17</v>
      </c>
      <c r="H9" s="21">
        <v>0.22926416615947953</v>
      </c>
      <c r="I9" s="21">
        <v>6.8702043318690981E-2</v>
      </c>
      <c r="J9" s="22">
        <v>2</v>
      </c>
      <c r="K9" s="21">
        <v>9.2894218104689974E-16</v>
      </c>
      <c r="L9" s="22">
        <v>3.8380873502653143E-18</v>
      </c>
      <c r="M9" s="22">
        <v>0.54265289907574865</v>
      </c>
      <c r="N9" s="22">
        <v>0.11706348522488329</v>
      </c>
      <c r="O9" s="22">
        <v>1.95</v>
      </c>
      <c r="P9" s="21">
        <v>3.2176072756828268E-9</v>
      </c>
      <c r="Q9" s="22">
        <v>2.8846057255578021E-16</v>
      </c>
      <c r="R9" s="21">
        <v>0.89860697249516808</v>
      </c>
      <c r="S9" s="21">
        <v>0.1322399230397627</v>
      </c>
      <c r="T9" s="22">
        <v>1.85</v>
      </c>
      <c r="U9" s="21">
        <v>3.1737761486587214E-14</v>
      </c>
      <c r="V9" s="22">
        <v>8.9183722715823521E-14</v>
      </c>
    </row>
    <row r="10" spans="1:22" x14ac:dyDescent="0.25">
      <c r="A10" s="3"/>
      <c r="B10" s="3" t="s">
        <v>2</v>
      </c>
      <c r="C10" s="22">
        <v>0.13074508316527397</v>
      </c>
      <c r="D10" s="22">
        <v>2.6600172557478863E-2</v>
      </c>
      <c r="E10" s="22">
        <v>1.06</v>
      </c>
      <c r="F10" s="21"/>
      <c r="G10" s="22"/>
      <c r="H10" s="21">
        <v>0.23417533182212036</v>
      </c>
      <c r="I10" s="21">
        <v>7.1185688988273002E-2</v>
      </c>
      <c r="J10" s="22">
        <v>1</v>
      </c>
      <c r="K10" s="21"/>
      <c r="L10" s="22"/>
      <c r="M10" s="22">
        <v>0.55367077953401156</v>
      </c>
      <c r="N10" s="22">
        <v>0.12224601264227716</v>
      </c>
      <c r="O10" s="22">
        <v>1.05</v>
      </c>
      <c r="P10" s="21"/>
      <c r="Q10" s="22"/>
      <c r="R10" s="21">
        <v>0.91982859678220752</v>
      </c>
      <c r="S10" s="21">
        <v>0.13948492462525916</v>
      </c>
      <c r="T10" s="22">
        <v>1.1499999999999999</v>
      </c>
      <c r="U10" s="21"/>
      <c r="V10" s="22"/>
    </row>
    <row r="11" spans="1:22" x14ac:dyDescent="0.25">
      <c r="A11" s="1" t="s">
        <v>9</v>
      </c>
      <c r="B11" s="1" t="s">
        <v>3</v>
      </c>
      <c r="C11" s="21">
        <v>0.13041753984549753</v>
      </c>
      <c r="D11" s="21">
        <v>2.5739382550199252E-2</v>
      </c>
      <c r="E11" s="21">
        <v>1.95</v>
      </c>
      <c r="F11" s="22">
        <v>1.4667677944493678E-4</v>
      </c>
      <c r="G11" s="21">
        <v>4.2023751079654479E-18</v>
      </c>
      <c r="H11" s="22">
        <v>9.131278091372895E-2</v>
      </c>
      <c r="I11" s="22">
        <v>6.610644776072673E-2</v>
      </c>
      <c r="J11" s="21">
        <v>1.87</v>
      </c>
      <c r="K11" s="22">
        <v>1.2262934052893273E-6</v>
      </c>
      <c r="L11" s="21">
        <v>1.1256085811322934E-14</v>
      </c>
      <c r="M11" s="21">
        <v>0.11807775544437606</v>
      </c>
      <c r="N11" s="21">
        <v>7.2176923335865395E-2</v>
      </c>
      <c r="O11" s="21">
        <v>1.865</v>
      </c>
      <c r="P11" s="22">
        <v>1.0618899222189834E-2</v>
      </c>
      <c r="Q11" s="21">
        <v>5.281162468777795E-14</v>
      </c>
      <c r="R11" s="22">
        <v>0.13330834743436656</v>
      </c>
      <c r="S11" s="22">
        <v>7.3612673471389556E-2</v>
      </c>
      <c r="T11" s="21">
        <v>1.7549999999999999</v>
      </c>
      <c r="U11" s="22">
        <v>4.5121581569968654E-4</v>
      </c>
      <c r="V11" s="21">
        <v>4.3124152206875033E-10</v>
      </c>
    </row>
    <row r="12" spans="1:22" x14ac:dyDescent="0.25">
      <c r="A12" s="3"/>
      <c r="B12" s="3" t="s">
        <v>2</v>
      </c>
      <c r="C12" s="21">
        <v>0.13084420610932754</v>
      </c>
      <c r="D12" s="21">
        <v>2.6541791688373999E-2</v>
      </c>
      <c r="E12" s="21">
        <v>1.05</v>
      </c>
      <c r="F12" s="22"/>
      <c r="G12" s="21"/>
      <c r="H12" s="22">
        <v>9.2484738999833879E-2</v>
      </c>
      <c r="I12" s="22">
        <v>6.6915058987770337E-2</v>
      </c>
      <c r="J12" s="21">
        <v>1.1299999999999999</v>
      </c>
      <c r="K12" s="22"/>
      <c r="L12" s="21"/>
      <c r="M12" s="21">
        <v>0.12100773734578241</v>
      </c>
      <c r="N12" s="21">
        <v>7.3724858415574454E-2</v>
      </c>
      <c r="O12" s="21">
        <v>1.135</v>
      </c>
      <c r="P12" s="22"/>
      <c r="Q12" s="21"/>
      <c r="R12" s="22">
        <v>0.13421160305586671</v>
      </c>
      <c r="S12" s="22">
        <v>7.3601379298546182E-2</v>
      </c>
      <c r="T12" s="21">
        <v>1.2450000000000001</v>
      </c>
      <c r="U12" s="22"/>
      <c r="V12" s="21"/>
    </row>
    <row r="13" spans="1:22" x14ac:dyDescent="0.25">
      <c r="A13" s="1" t="s">
        <v>10</v>
      </c>
      <c r="B13" s="1" t="s">
        <v>3</v>
      </c>
      <c r="C13" s="22">
        <v>3.5362347309066781E-2</v>
      </c>
      <c r="D13" s="22">
        <v>3.7821266082235773E-2</v>
      </c>
      <c r="E13" s="22">
        <v>1.4650000000000001</v>
      </c>
      <c r="F13" s="21">
        <v>0.20297115585941569</v>
      </c>
      <c r="G13" s="22">
        <v>6.8147335953051447E-2</v>
      </c>
      <c r="H13" s="21">
        <v>4.9093725637791207E-2</v>
      </c>
      <c r="I13" s="21">
        <v>4.1214509535657154E-2</v>
      </c>
      <c r="J13" s="22">
        <v>1.53</v>
      </c>
      <c r="K13" s="21">
        <v>6.802224440136917E-2</v>
      </c>
      <c r="L13" s="22">
        <v>0.39669026030568028</v>
      </c>
      <c r="M13" s="22">
        <v>0.10759198737341298</v>
      </c>
      <c r="N13" s="22">
        <v>6.6904729514361452E-2</v>
      </c>
      <c r="O13" s="22">
        <v>1.5549999999999999</v>
      </c>
      <c r="P13" s="21">
        <v>0.7221155704277199</v>
      </c>
      <c r="Q13" s="22">
        <v>0.90829937373372938</v>
      </c>
      <c r="R13" s="21">
        <v>0.11888766866601795</v>
      </c>
      <c r="S13" s="21">
        <v>6.6228010464245229E-2</v>
      </c>
      <c r="T13" s="22">
        <v>1.345</v>
      </c>
      <c r="U13" s="21">
        <v>9.8023675316618957E-4</v>
      </c>
      <c r="V13" s="22">
        <v>4.7163209299834898E-5</v>
      </c>
    </row>
    <row r="14" spans="1:22" x14ac:dyDescent="0.25">
      <c r="A14" s="3"/>
      <c r="B14" s="3" t="s">
        <v>2</v>
      </c>
      <c r="C14" s="22">
        <v>3.347883828263002E-2</v>
      </c>
      <c r="D14" s="22">
        <v>3.5907108126341722E-2</v>
      </c>
      <c r="E14" s="22">
        <v>1.5349999999999999</v>
      </c>
      <c r="F14" s="21"/>
      <c r="G14" s="22"/>
      <c r="H14" s="21">
        <v>5.2744665260298279E-2</v>
      </c>
      <c r="I14" s="21">
        <v>4.6022375570791287E-2</v>
      </c>
      <c r="J14" s="22">
        <v>1.47</v>
      </c>
      <c r="K14" s="21"/>
      <c r="L14" s="22"/>
      <c r="M14" s="22">
        <v>0.10813328336868017</v>
      </c>
      <c r="N14" s="22">
        <v>6.6373890677911551E-2</v>
      </c>
      <c r="O14" s="22">
        <v>1.4450000000000001</v>
      </c>
      <c r="P14" s="21"/>
      <c r="Q14" s="22"/>
      <c r="R14" s="21">
        <v>0.11576116061494292</v>
      </c>
      <c r="S14" s="21">
        <v>6.426220605067938E-2</v>
      </c>
      <c r="T14" s="22">
        <v>1.655</v>
      </c>
      <c r="U14" s="21"/>
      <c r="V14" s="22"/>
    </row>
    <row r="15" spans="1:22" x14ac:dyDescent="0.25">
      <c r="A15" s="1" t="s">
        <v>11</v>
      </c>
      <c r="B15" s="1" t="s">
        <v>3</v>
      </c>
      <c r="C15" s="21">
        <v>0.22354053656340411</v>
      </c>
      <c r="D15" s="21">
        <v>5.7652775093399833E-2</v>
      </c>
      <c r="E15" s="21">
        <v>1.93</v>
      </c>
      <c r="F15" s="22">
        <v>4.9620261119998402E-4</v>
      </c>
      <c r="G15" s="21">
        <v>6.6319831937206715E-17</v>
      </c>
      <c r="H15" s="22">
        <v>0.18345139354325185</v>
      </c>
      <c r="I15" s="22">
        <v>0.12334127846046036</v>
      </c>
      <c r="J15" s="21">
        <v>1.905</v>
      </c>
      <c r="K15" s="22">
        <v>6.990486829082077E-4</v>
      </c>
      <c r="L15" s="21">
        <v>2.1674037533438978E-16</v>
      </c>
      <c r="M15" s="21">
        <v>0.2703523676793812</v>
      </c>
      <c r="N15" s="21">
        <v>0.17879811431666115</v>
      </c>
      <c r="O15" s="21">
        <v>1.91</v>
      </c>
      <c r="P15" s="22">
        <v>5.5085814044468885E-4</v>
      </c>
      <c r="Q15" s="21">
        <v>1.4497186650751721E-16</v>
      </c>
      <c r="R15" s="22">
        <v>0.35005876403450509</v>
      </c>
      <c r="S15" s="22">
        <v>0.19521361776822957</v>
      </c>
      <c r="T15" s="21">
        <v>1.92</v>
      </c>
      <c r="U15" s="22">
        <v>3.4044912026329381E-15</v>
      </c>
      <c r="V15" s="21">
        <v>6.3697457878723299E-15</v>
      </c>
    </row>
    <row r="16" spans="1:22" x14ac:dyDescent="0.25">
      <c r="A16" s="3"/>
      <c r="B16" s="3" t="s">
        <v>2</v>
      </c>
      <c r="C16" s="21">
        <v>0.22391878808104193</v>
      </c>
      <c r="D16" s="21">
        <v>5.7812340150198149E-2</v>
      </c>
      <c r="E16" s="21">
        <v>1.07</v>
      </c>
      <c r="F16" s="22"/>
      <c r="G16" s="21"/>
      <c r="H16" s="22">
        <v>0.18848119844807459</v>
      </c>
      <c r="I16" s="22">
        <v>0.12383234708317362</v>
      </c>
      <c r="J16" s="21">
        <v>1.095</v>
      </c>
      <c r="K16" s="22"/>
      <c r="L16" s="21"/>
      <c r="M16" s="21">
        <v>0.28165991352625769</v>
      </c>
      <c r="N16" s="21">
        <v>0.17921025948712735</v>
      </c>
      <c r="O16" s="21">
        <v>1.0900000000000001</v>
      </c>
      <c r="P16" s="22"/>
      <c r="Q16" s="21"/>
      <c r="R16" s="22">
        <v>0.36003786112967168</v>
      </c>
      <c r="S16" s="22">
        <v>0.19671808972817192</v>
      </c>
      <c r="T16" s="21">
        <v>1.08</v>
      </c>
      <c r="U16" s="22"/>
      <c r="V16" s="21"/>
    </row>
    <row r="17" spans="1:22" x14ac:dyDescent="0.25">
      <c r="A17" s="1" t="s">
        <v>12</v>
      </c>
      <c r="B17" s="1" t="s">
        <v>3</v>
      </c>
      <c r="C17" s="22">
        <v>0.37990176804737025</v>
      </c>
      <c r="D17" s="22">
        <v>0.10807601406636805</v>
      </c>
      <c r="E17" s="22">
        <v>1.63</v>
      </c>
      <c r="F17" s="21">
        <v>2.2497169932566848E-2</v>
      </c>
      <c r="G17" s="22">
        <v>7.3583852370980151E-3</v>
      </c>
      <c r="H17" s="21">
        <v>0.79032655948676733</v>
      </c>
      <c r="I17" s="21">
        <v>7.5119493918689745E-2</v>
      </c>
      <c r="J17" s="22">
        <v>1.68</v>
      </c>
      <c r="K17" s="21">
        <v>4.3157957881000938E-4</v>
      </c>
      <c r="L17" s="22">
        <v>7.1648002168263682E-6</v>
      </c>
      <c r="M17" s="22">
        <v>1.2344642283574445</v>
      </c>
      <c r="N17" s="22">
        <v>6.6498626758520793E-2</v>
      </c>
      <c r="O17" s="22">
        <v>1.77</v>
      </c>
      <c r="P17" s="21">
        <v>1.1969307755022636E-9</v>
      </c>
      <c r="Q17" s="22">
        <v>3.5364828129471137E-10</v>
      </c>
      <c r="R17" s="21">
        <v>1.5137962754672498</v>
      </c>
      <c r="S17" s="21">
        <v>3.2346318085366865E-2</v>
      </c>
      <c r="T17" s="22">
        <v>1.95</v>
      </c>
      <c r="U17" s="21">
        <v>1.6422763455919663E-30</v>
      </c>
      <c r="V17" s="22">
        <v>1.9898965064226015E-17</v>
      </c>
    </row>
    <row r="18" spans="1:22" x14ac:dyDescent="0.25">
      <c r="A18" s="3"/>
      <c r="B18" s="3" t="s">
        <v>2</v>
      </c>
      <c r="C18" s="22">
        <v>0.38189936862076296</v>
      </c>
      <c r="D18" s="22">
        <v>0.10831061946972081</v>
      </c>
      <c r="E18" s="22">
        <v>1.37</v>
      </c>
      <c r="F18" s="21"/>
      <c r="G18" s="22"/>
      <c r="H18" s="21">
        <v>0.7957621600539424</v>
      </c>
      <c r="I18" s="21">
        <v>7.9089188296387905E-2</v>
      </c>
      <c r="J18" s="22">
        <v>1.32</v>
      </c>
      <c r="K18" s="21"/>
      <c r="L18" s="22"/>
      <c r="M18" s="22">
        <v>1.2451048962376838</v>
      </c>
      <c r="N18" s="22">
        <v>6.6878775442654359E-2</v>
      </c>
      <c r="O18" s="22">
        <v>1.23</v>
      </c>
      <c r="P18" s="21"/>
      <c r="Q18" s="22"/>
      <c r="R18" s="21">
        <v>1.5299108115800812</v>
      </c>
      <c r="S18" s="21">
        <v>3.5023092756445461E-2</v>
      </c>
      <c r="T18" s="22">
        <v>1.05</v>
      </c>
      <c r="U18" s="21"/>
      <c r="V18" s="22"/>
    </row>
    <row r="19" spans="1:22" x14ac:dyDescent="0.25">
      <c r="A19" s="1" t="s">
        <v>13</v>
      </c>
      <c r="B19" s="1" t="s">
        <v>3</v>
      </c>
      <c r="C19" s="21">
        <v>0.36778136982934639</v>
      </c>
      <c r="D19" s="21">
        <v>9.7287281765917999E-2</v>
      </c>
      <c r="E19" s="21">
        <v>1.6</v>
      </c>
      <c r="F19" s="22">
        <v>0.59318608493979974</v>
      </c>
      <c r="G19" s="21">
        <v>4.7457501491411286E-2</v>
      </c>
      <c r="H19" s="22">
        <v>0.77255470115558156</v>
      </c>
      <c r="I19" s="22">
        <v>8.2099918640419725E-2</v>
      </c>
      <c r="J19" s="21">
        <v>1.62</v>
      </c>
      <c r="K19" s="22">
        <v>0.15150809687248043</v>
      </c>
      <c r="L19" s="21">
        <v>1.6167676853910417E-2</v>
      </c>
      <c r="M19" s="21">
        <v>1.2528559885438646</v>
      </c>
      <c r="N19" s="21">
        <v>8.5234875440174468E-2</v>
      </c>
      <c r="O19" s="21">
        <v>1.76</v>
      </c>
      <c r="P19" s="22">
        <v>0.32858617776601518</v>
      </c>
      <c r="Q19" s="21">
        <v>7.2813205807790812E-6</v>
      </c>
      <c r="R19" s="22">
        <v>1.5375718606533</v>
      </c>
      <c r="S19" s="22">
        <v>6.5265133904021638E-2</v>
      </c>
      <c r="T19" s="21">
        <v>1.94</v>
      </c>
      <c r="U19" s="22">
        <v>1.9193079291205603E-2</v>
      </c>
      <c r="V19" s="21">
        <v>1.5136220602885989E-14</v>
      </c>
    </row>
    <row r="20" spans="1:22" x14ac:dyDescent="0.25">
      <c r="A20" s="3"/>
      <c r="B20" s="3" t="s">
        <v>2</v>
      </c>
      <c r="C20" s="21">
        <v>0.37119646489578217</v>
      </c>
      <c r="D20" s="21">
        <v>9.5440390986231791E-2</v>
      </c>
      <c r="E20" s="21">
        <v>1.4</v>
      </c>
      <c r="F20" s="22"/>
      <c r="G20" s="21"/>
      <c r="H20" s="22">
        <v>0.78066790604313718</v>
      </c>
      <c r="I20" s="22">
        <v>8.5819276910750808E-2</v>
      </c>
      <c r="J20" s="21">
        <v>1.38</v>
      </c>
      <c r="K20" s="22"/>
      <c r="L20" s="21"/>
      <c r="M20" s="21">
        <v>1.2614398587944131</v>
      </c>
      <c r="N20" s="21">
        <v>9.0787587395538799E-2</v>
      </c>
      <c r="O20" s="21">
        <v>1.24</v>
      </c>
      <c r="P20" s="22"/>
      <c r="Q20" s="21"/>
      <c r="R20" s="22">
        <v>1.5564936548763391</v>
      </c>
      <c r="S20" s="22">
        <v>5.3642838402138779E-2</v>
      </c>
      <c r="T20" s="21">
        <v>1.06</v>
      </c>
      <c r="U20" s="22"/>
      <c r="V20" s="21"/>
    </row>
    <row r="21" spans="1:22" x14ac:dyDescent="0.25">
      <c r="A21" s="1" t="s">
        <v>14</v>
      </c>
      <c r="B21" s="1" t="s">
        <v>3</v>
      </c>
      <c r="C21" s="22">
        <v>0.28346144892036101</v>
      </c>
      <c r="D21" s="22">
        <v>8.060149537292445E-2</v>
      </c>
      <c r="E21" s="22">
        <v>1.61</v>
      </c>
      <c r="F21" s="21">
        <v>3.037578870056179E-3</v>
      </c>
      <c r="G21" s="22">
        <v>2.3834369621771141E-3</v>
      </c>
      <c r="H21" s="21">
        <v>0.24616674328372173</v>
      </c>
      <c r="I21" s="21">
        <v>0.10174120167952083</v>
      </c>
      <c r="J21" s="22">
        <v>1.78</v>
      </c>
      <c r="K21" s="21">
        <v>1.042087010518501E-9</v>
      </c>
      <c r="L21" s="22">
        <v>1.0083187494742594E-12</v>
      </c>
      <c r="M21" s="22">
        <v>0.36682960021223388</v>
      </c>
      <c r="N21" s="22">
        <v>0.15753477260674684</v>
      </c>
      <c r="O21" s="22">
        <v>1.855</v>
      </c>
      <c r="P21" s="21">
        <v>4.949808542019562E-3</v>
      </c>
      <c r="Q21" s="22">
        <v>1.317124514406297E-13</v>
      </c>
      <c r="R21" s="21">
        <v>0.47082709501017644</v>
      </c>
      <c r="S21" s="21">
        <v>0.19992358769180968</v>
      </c>
      <c r="T21" s="22">
        <v>1.8</v>
      </c>
      <c r="U21" s="21">
        <v>3.3526089822467427E-8</v>
      </c>
      <c r="V21" s="22">
        <v>3.0289048135238694E-10</v>
      </c>
    </row>
    <row r="22" spans="1:22" x14ac:dyDescent="0.25">
      <c r="A22" s="3"/>
      <c r="B22" s="3" t="s">
        <v>2</v>
      </c>
      <c r="C22" s="22">
        <v>0.28394201271640052</v>
      </c>
      <c r="D22" s="22">
        <v>8.117425361904583E-2</v>
      </c>
      <c r="E22" s="22">
        <v>1.39</v>
      </c>
      <c r="F22" s="21"/>
      <c r="G22" s="22"/>
      <c r="H22" s="21">
        <v>0.24905303071413917</v>
      </c>
      <c r="I22" s="21">
        <v>0.10287598423918051</v>
      </c>
      <c r="J22" s="22">
        <v>1.22</v>
      </c>
      <c r="K22" s="21"/>
      <c r="L22" s="22"/>
      <c r="M22" s="22">
        <v>0.37515746828378155</v>
      </c>
      <c r="N22" s="22">
        <v>0.15980577224947312</v>
      </c>
      <c r="O22" s="22">
        <v>1.145</v>
      </c>
      <c r="P22" s="21"/>
      <c r="Q22" s="22"/>
      <c r="R22" s="21">
        <v>0.47681608783274387</v>
      </c>
      <c r="S22" s="21">
        <v>0.19725700185695735</v>
      </c>
      <c r="T22" s="22">
        <v>1.2</v>
      </c>
      <c r="U22" s="21"/>
      <c r="V22" s="22"/>
    </row>
    <row r="23" spans="1:22" x14ac:dyDescent="0.25">
      <c r="A23" s="1" t="s">
        <v>15</v>
      </c>
      <c r="B23" s="1" t="s">
        <v>3</v>
      </c>
      <c r="C23" s="21">
        <v>0.13011169653155977</v>
      </c>
      <c r="D23" s="21">
        <v>2.6127845732522782E-2</v>
      </c>
      <c r="E23" s="21">
        <v>1.85</v>
      </c>
      <c r="F23" s="22">
        <v>1.4722006461330491E-9</v>
      </c>
      <c r="G23" s="21">
        <v>6.7512966986990489E-13</v>
      </c>
      <c r="H23" s="22">
        <v>0.22686987885040505</v>
      </c>
      <c r="I23" s="22">
        <v>6.8661845722030546E-2</v>
      </c>
      <c r="J23" s="21">
        <v>1.93</v>
      </c>
      <c r="K23" s="22">
        <v>1.7596049127337388E-15</v>
      </c>
      <c r="L23" s="21">
        <v>1.6740748004126485E-16</v>
      </c>
      <c r="M23" s="21">
        <v>0.52722361103399473</v>
      </c>
      <c r="N23" s="21">
        <v>0.11526501058185661</v>
      </c>
      <c r="O23" s="21">
        <v>1.74</v>
      </c>
      <c r="P23" s="22">
        <v>2.1287376312238005E-4</v>
      </c>
      <c r="Q23" s="21">
        <v>2.0683051299390148E-8</v>
      </c>
      <c r="R23" s="22">
        <v>0.86855386314245098</v>
      </c>
      <c r="S23" s="22">
        <v>0.12822724801892868</v>
      </c>
      <c r="T23" s="21">
        <v>1.68</v>
      </c>
      <c r="U23" s="22">
        <v>8.2700132640569637E-4</v>
      </c>
      <c r="V23" s="21">
        <v>5.3882498051656402E-4</v>
      </c>
    </row>
    <row r="24" spans="1:22" x14ac:dyDescent="0.25">
      <c r="A24" s="3"/>
      <c r="B24" s="3" t="s">
        <v>2</v>
      </c>
      <c r="C24" s="21">
        <v>0.13043026384598816</v>
      </c>
      <c r="D24" s="21">
        <v>2.6406462465938561E-2</v>
      </c>
      <c r="E24" s="21">
        <v>1.1499999999999999</v>
      </c>
      <c r="F24" s="22"/>
      <c r="G24" s="21"/>
      <c r="H24" s="22">
        <v>0.23120110139527073</v>
      </c>
      <c r="I24" s="22">
        <v>7.0253649385470768E-2</v>
      </c>
      <c r="J24" s="21">
        <v>1.07</v>
      </c>
      <c r="K24" s="22"/>
      <c r="L24" s="21"/>
      <c r="M24" s="21">
        <v>0.53532461288921585</v>
      </c>
      <c r="N24" s="21">
        <v>0.11541306567008977</v>
      </c>
      <c r="O24" s="21">
        <v>1.26</v>
      </c>
      <c r="P24" s="22"/>
      <c r="Q24" s="21"/>
      <c r="R24" s="22">
        <v>0.87635402070492063</v>
      </c>
      <c r="S24" s="22">
        <v>0.13129310812767236</v>
      </c>
      <c r="T24" s="21">
        <v>1.32</v>
      </c>
      <c r="U24" s="22"/>
      <c r="V24" s="21"/>
    </row>
    <row r="25" spans="1:22" x14ac:dyDescent="0.25">
      <c r="A25" s="1" t="s">
        <v>16</v>
      </c>
      <c r="B25" s="1" t="s">
        <v>3</v>
      </c>
      <c r="C25" s="22">
        <v>0.1117624329950085</v>
      </c>
      <c r="D25" s="22">
        <v>2.7179480639414694E-2</v>
      </c>
      <c r="E25" s="22">
        <v>1.93</v>
      </c>
      <c r="F25" s="21">
        <v>1.4190322463226675E-4</v>
      </c>
      <c r="G25" s="22">
        <v>8.8688377720032203E-17</v>
      </c>
      <c r="H25" s="21">
        <v>0.20063900485663125</v>
      </c>
      <c r="I25" s="21">
        <v>6.1923256282811562E-2</v>
      </c>
      <c r="J25" s="22">
        <v>1.93</v>
      </c>
      <c r="K25" s="21">
        <v>1.272679419307536E-7</v>
      </c>
      <c r="L25" s="22">
        <v>1.9002469121499061E-15</v>
      </c>
      <c r="M25" s="22">
        <v>0.47229921192104179</v>
      </c>
      <c r="N25" s="22">
        <v>0.10764610595941271</v>
      </c>
      <c r="O25" s="22">
        <v>1.82</v>
      </c>
      <c r="P25" s="21">
        <v>5.0375287848989644E-7</v>
      </c>
      <c r="Q25" s="22">
        <v>2.4251358478471763E-10</v>
      </c>
      <c r="R25" s="21">
        <v>0.80718240219452053</v>
      </c>
      <c r="S25" s="21">
        <v>0.12862391061790049</v>
      </c>
      <c r="T25" s="22">
        <v>1.59</v>
      </c>
      <c r="U25" s="21">
        <v>8.7070494360262513E-3</v>
      </c>
      <c r="V25" s="22">
        <v>1.8595939397739625E-2</v>
      </c>
    </row>
    <row r="26" spans="1:22" x14ac:dyDescent="0.25">
      <c r="A26" s="3"/>
      <c r="B26" s="3" t="s">
        <v>2</v>
      </c>
      <c r="C26" s="22">
        <v>0.11217908670555359</v>
      </c>
      <c r="D26" s="22">
        <v>2.7744416583099622E-2</v>
      </c>
      <c r="E26" s="22">
        <v>1.07</v>
      </c>
      <c r="F26" s="21"/>
      <c r="G26" s="22"/>
      <c r="H26" s="21">
        <v>0.20556759702248978</v>
      </c>
      <c r="I26" s="21">
        <v>6.4538011363710041E-2</v>
      </c>
      <c r="J26" s="22">
        <v>1.07</v>
      </c>
      <c r="K26" s="21"/>
      <c r="L26" s="22"/>
      <c r="M26" s="22">
        <v>0.48288022370946465</v>
      </c>
      <c r="N26" s="22">
        <v>0.10869955410493826</v>
      </c>
      <c r="O26" s="22">
        <v>1.18</v>
      </c>
      <c r="P26" s="21"/>
      <c r="Q26" s="22"/>
      <c r="R26" s="21">
        <v>0.81233202839188901</v>
      </c>
      <c r="S26" s="21">
        <v>0.12872440865093618</v>
      </c>
      <c r="T26" s="22">
        <v>1.41</v>
      </c>
      <c r="U26" s="21"/>
      <c r="V26" s="22"/>
    </row>
    <row r="27" spans="1:22" x14ac:dyDescent="0.25">
      <c r="A27" s="1" t="s">
        <v>17</v>
      </c>
      <c r="B27" s="1" t="s">
        <v>3</v>
      </c>
      <c r="C27" s="21">
        <v>0.11481122428948971</v>
      </c>
      <c r="D27" s="21">
        <v>2.7214824598959214E-2</v>
      </c>
      <c r="E27" s="21">
        <v>1.43</v>
      </c>
      <c r="F27" s="22">
        <v>0.84195389957761646</v>
      </c>
      <c r="G27" s="21">
        <v>0.51246718573662997</v>
      </c>
      <c r="H27" s="22">
        <v>0.20643462584654773</v>
      </c>
      <c r="I27" s="22">
        <v>6.287636947918368E-2</v>
      </c>
      <c r="J27" s="21">
        <v>1.77</v>
      </c>
      <c r="K27" s="22">
        <v>1.593966382643573E-5</v>
      </c>
      <c r="L27" s="21">
        <v>2.651039221060406E-10</v>
      </c>
      <c r="M27" s="21">
        <v>0.49564795278185075</v>
      </c>
      <c r="N27" s="21">
        <v>0.1086357830803594</v>
      </c>
      <c r="O27" s="21">
        <v>1.76</v>
      </c>
      <c r="P27" s="22">
        <v>2.3552354595689566E-6</v>
      </c>
      <c r="Q27" s="21">
        <v>7.1988553135493855E-8</v>
      </c>
      <c r="R27" s="22">
        <v>0.83522013094546121</v>
      </c>
      <c r="S27" s="22">
        <v>0.12628998608944819</v>
      </c>
      <c r="T27" s="21">
        <v>1.45</v>
      </c>
      <c r="U27" s="22">
        <v>1.0318185109636658E-2</v>
      </c>
      <c r="V27" s="21">
        <v>1.2491627802950038E-2</v>
      </c>
    </row>
    <row r="28" spans="1:22" x14ac:dyDescent="0.25">
      <c r="A28" s="3"/>
      <c r="B28" s="3" t="s">
        <v>2</v>
      </c>
      <c r="C28" s="21">
        <v>0.11473083733125607</v>
      </c>
      <c r="D28" s="21">
        <v>2.7823983229615285E-2</v>
      </c>
      <c r="E28" s="21">
        <v>1.57</v>
      </c>
      <c r="F28" s="22"/>
      <c r="G28" s="21"/>
      <c r="H28" s="22">
        <v>0.21140639999039301</v>
      </c>
      <c r="I28" s="22">
        <v>6.4940062448547678E-2</v>
      </c>
      <c r="J28" s="21">
        <v>1.23</v>
      </c>
      <c r="K28" s="22"/>
      <c r="L28" s="21"/>
      <c r="M28" s="21">
        <v>0.50363329037364468</v>
      </c>
      <c r="N28" s="21">
        <v>0.11007553665964236</v>
      </c>
      <c r="O28" s="21">
        <v>1.24</v>
      </c>
      <c r="P28" s="22"/>
      <c r="Q28" s="21"/>
      <c r="R28" s="22">
        <v>0.82850976567131507</v>
      </c>
      <c r="S28" s="22">
        <v>0.11617429852180491</v>
      </c>
      <c r="T28" s="21">
        <v>1.55</v>
      </c>
      <c r="U28" s="22"/>
      <c r="V28" s="21"/>
    </row>
    <row r="29" spans="1:22" x14ac:dyDescent="0.25">
      <c r="A29" s="1" t="s">
        <v>18</v>
      </c>
      <c r="B29" s="1" t="s">
        <v>3</v>
      </c>
      <c r="C29" s="22">
        <v>0.13036443674805251</v>
      </c>
      <c r="D29" s="22">
        <v>2.6118652280727253E-2</v>
      </c>
      <c r="E29" s="22">
        <v>1.875</v>
      </c>
      <c r="F29" s="21">
        <v>1.338829973595619E-5</v>
      </c>
      <c r="G29" s="22">
        <v>7.7734256797095514E-16</v>
      </c>
      <c r="H29" s="21">
        <v>0.22918739030973334</v>
      </c>
      <c r="I29" s="21">
        <v>6.9416839672119701E-2</v>
      </c>
      <c r="J29" s="22">
        <v>1.94</v>
      </c>
      <c r="K29" s="21">
        <v>5.5458672262625494E-14</v>
      </c>
      <c r="L29" s="22">
        <v>5.9021772052104053E-17</v>
      </c>
      <c r="M29" s="22">
        <v>0.53651383815679365</v>
      </c>
      <c r="N29" s="22">
        <v>0.11652555618104864</v>
      </c>
      <c r="O29" s="22">
        <v>1.93</v>
      </c>
      <c r="P29" s="21">
        <v>2.3320996734876835E-5</v>
      </c>
      <c r="Q29" s="22">
        <v>1.7004690306981196E-15</v>
      </c>
      <c r="R29" s="21">
        <v>0.89195925881627758</v>
      </c>
      <c r="S29" s="21">
        <v>0.13241136459015132</v>
      </c>
      <c r="T29" s="22">
        <v>1.81</v>
      </c>
      <c r="U29" s="21">
        <v>3.3522742068774792E-10</v>
      </c>
      <c r="V29" s="22">
        <v>1.1549381729187004E-10</v>
      </c>
    </row>
    <row r="30" spans="1:22" x14ac:dyDescent="0.25">
      <c r="A30" s="3"/>
      <c r="B30" s="3" t="s">
        <v>2</v>
      </c>
      <c r="C30" s="22">
        <v>0.13069761244982714</v>
      </c>
      <c r="D30" s="22">
        <v>2.6494772001086696E-2</v>
      </c>
      <c r="E30" s="22">
        <v>1.125</v>
      </c>
      <c r="F30" s="21"/>
      <c r="G30" s="22"/>
      <c r="H30" s="21">
        <v>0.23307783934097159</v>
      </c>
      <c r="I30" s="21">
        <v>7.1013578480064968E-2</v>
      </c>
      <c r="J30" s="22">
        <v>1.06</v>
      </c>
      <c r="K30" s="21"/>
      <c r="L30" s="22"/>
      <c r="M30" s="22">
        <v>0.54809348039022332</v>
      </c>
      <c r="N30" s="22">
        <v>0.11868955945740244</v>
      </c>
      <c r="O30" s="22">
        <v>1.07</v>
      </c>
      <c r="P30" s="21"/>
      <c r="Q30" s="22"/>
      <c r="R30" s="21">
        <v>0.90587881702400608</v>
      </c>
      <c r="S30" s="21">
        <v>0.1367226129508522</v>
      </c>
      <c r="T30" s="22">
        <v>1.19</v>
      </c>
      <c r="U30" s="21"/>
      <c r="V30" s="22"/>
    </row>
    <row r="31" spans="1:22" x14ac:dyDescent="0.25">
      <c r="A31" s="1" t="s">
        <v>19</v>
      </c>
      <c r="B31" s="1" t="s">
        <v>3</v>
      </c>
      <c r="C31" s="21">
        <v>0.13032984232209543</v>
      </c>
      <c r="D31" s="21">
        <v>2.5821049568910126E-2</v>
      </c>
      <c r="E31" s="21">
        <v>1.85</v>
      </c>
      <c r="F31" s="22">
        <v>4.3188238154850912E-4</v>
      </c>
      <c r="G31" s="21">
        <v>7.9173773365793064E-15</v>
      </c>
      <c r="H31" s="22">
        <v>0.22859725024420319</v>
      </c>
      <c r="I31" s="22">
        <v>6.8105423223597084E-2</v>
      </c>
      <c r="J31" s="21">
        <v>1.94</v>
      </c>
      <c r="K31" s="22">
        <v>2.2154554670184519E-9</v>
      </c>
      <c r="L31" s="21">
        <v>3.3021918186979379E-15</v>
      </c>
      <c r="M31" s="21">
        <v>0.53685156941667034</v>
      </c>
      <c r="N31" s="21">
        <v>0.11591767303438304</v>
      </c>
      <c r="O31" s="21">
        <v>1.87</v>
      </c>
      <c r="P31" s="22">
        <v>2.6990279647000612E-5</v>
      </c>
      <c r="Q31" s="21">
        <v>2.6398431800227363E-13</v>
      </c>
      <c r="R31" s="22">
        <v>0.88903111640044141</v>
      </c>
      <c r="S31" s="22">
        <v>0.13042270618844864</v>
      </c>
      <c r="T31" s="21">
        <v>1.74</v>
      </c>
      <c r="U31" s="22">
        <v>2.0279917669368385E-9</v>
      </c>
      <c r="V31" s="21">
        <v>4.3333195100669129E-9</v>
      </c>
    </row>
    <row r="32" spans="1:22" x14ac:dyDescent="0.25">
      <c r="A32" s="3"/>
      <c r="B32" s="3" t="s">
        <v>2</v>
      </c>
      <c r="C32" s="21">
        <v>0.13065930946613286</v>
      </c>
      <c r="D32" s="21">
        <v>2.6465562712565602E-2</v>
      </c>
      <c r="E32" s="21">
        <v>1.1499999999999999</v>
      </c>
      <c r="F32" s="22"/>
      <c r="G32" s="21"/>
      <c r="H32" s="22">
        <v>0.23280361803115734</v>
      </c>
      <c r="I32" s="22">
        <v>7.0483810474919237E-2</v>
      </c>
      <c r="J32" s="21">
        <v>1.06</v>
      </c>
      <c r="K32" s="22"/>
      <c r="L32" s="21"/>
      <c r="M32" s="21">
        <v>0.54705974405524038</v>
      </c>
      <c r="N32" s="21">
        <v>0.11863905406090967</v>
      </c>
      <c r="O32" s="21">
        <v>1.1299999999999999</v>
      </c>
      <c r="P32" s="22"/>
      <c r="Q32" s="21"/>
      <c r="R32" s="22">
        <v>0.90175131354935034</v>
      </c>
      <c r="S32" s="22">
        <v>0.13387074541971564</v>
      </c>
      <c r="T32" s="21">
        <v>1.26</v>
      </c>
      <c r="U32" s="22"/>
      <c r="V32" s="21"/>
    </row>
    <row r="33" spans="1:22" x14ac:dyDescent="0.25">
      <c r="A33" s="1" t="s">
        <v>20</v>
      </c>
      <c r="B33" s="1" t="s">
        <v>3</v>
      </c>
      <c r="C33" s="22">
        <v>0.12677902652910228</v>
      </c>
      <c r="D33" s="22">
        <v>2.6057972972478301E-2</v>
      </c>
      <c r="E33" s="22">
        <v>1.63</v>
      </c>
      <c r="F33" s="21">
        <v>1.1041556350833939E-2</v>
      </c>
      <c r="G33" s="22">
        <v>5.7326480712108106E-3</v>
      </c>
      <c r="H33" s="21">
        <v>0.21945254570263267</v>
      </c>
      <c r="I33" s="21">
        <v>6.4151481042105732E-2</v>
      </c>
      <c r="J33" s="22">
        <v>1.87</v>
      </c>
      <c r="K33" s="21">
        <v>5.7756301587018245E-9</v>
      </c>
      <c r="L33" s="22">
        <v>2.9200624756882371E-12</v>
      </c>
      <c r="M33" s="22">
        <v>0.50633932786349234</v>
      </c>
      <c r="N33" s="22">
        <v>0.11158358073304815</v>
      </c>
      <c r="O33" s="22">
        <v>1.86</v>
      </c>
      <c r="P33" s="21">
        <v>1.1456941173955476E-8</v>
      </c>
      <c r="Q33" s="22">
        <v>2.5206661223670366E-12</v>
      </c>
      <c r="R33" s="21">
        <v>0.84159289031977447</v>
      </c>
      <c r="S33" s="21">
        <v>0.13034081698324962</v>
      </c>
      <c r="T33" s="22">
        <v>1.57</v>
      </c>
      <c r="U33" s="21">
        <v>0.46670501596030201</v>
      </c>
      <c r="V33" s="22">
        <v>0.17170865736685711</v>
      </c>
    </row>
    <row r="34" spans="1:22" x14ac:dyDescent="0.25">
      <c r="A34" s="3"/>
      <c r="B34" s="3" t="s">
        <v>2</v>
      </c>
      <c r="C34" s="22">
        <v>0.12763226265063843</v>
      </c>
      <c r="D34" s="22">
        <v>2.7112037124624906E-2</v>
      </c>
      <c r="E34" s="22">
        <v>1.37</v>
      </c>
      <c r="F34" s="21"/>
      <c r="G34" s="22"/>
      <c r="H34" s="21">
        <v>0.22442386514354859</v>
      </c>
      <c r="I34" s="21">
        <v>6.7934006388773047E-2</v>
      </c>
      <c r="J34" s="22">
        <v>1.1299999999999999</v>
      </c>
      <c r="K34" s="21"/>
      <c r="L34" s="22"/>
      <c r="M34" s="22">
        <v>0.51609570200146593</v>
      </c>
      <c r="N34" s="22">
        <v>0.11148024764833017</v>
      </c>
      <c r="O34" s="22">
        <v>1.1399999999999999</v>
      </c>
      <c r="P34" s="21"/>
      <c r="Q34" s="22"/>
      <c r="R34" s="21">
        <v>0.84287670467618758</v>
      </c>
      <c r="S34" s="21">
        <v>0.12673165344953738</v>
      </c>
      <c r="T34" s="22">
        <v>1.43</v>
      </c>
      <c r="U34" s="21"/>
      <c r="V34" s="22"/>
    </row>
    <row r="35" spans="1:22" x14ac:dyDescent="0.25">
      <c r="A35" s="1" t="s">
        <v>31</v>
      </c>
      <c r="B35" s="1" t="s">
        <v>3</v>
      </c>
      <c r="C35" s="21">
        <v>0.43228643248258619</v>
      </c>
      <c r="D35" s="21">
        <v>0.10784624419460401</v>
      </c>
      <c r="E35" s="21">
        <v>1.9950000000000001</v>
      </c>
      <c r="F35" s="22">
        <v>6.7857190395761681E-6</v>
      </c>
      <c r="G35" s="21">
        <v>3.8380873502653143E-18</v>
      </c>
      <c r="H35" s="13"/>
      <c r="I35" s="14"/>
      <c r="J35" s="14"/>
      <c r="K35" s="14"/>
      <c r="L35" s="15"/>
      <c r="M35" s="13"/>
      <c r="N35" s="14"/>
      <c r="O35" s="14"/>
      <c r="P35" s="14"/>
      <c r="Q35" s="14"/>
      <c r="R35" s="17"/>
      <c r="S35" s="18"/>
    </row>
    <row r="36" spans="1:22" x14ac:dyDescent="0.25">
      <c r="A36" s="3"/>
      <c r="B36" s="3" t="s">
        <v>2</v>
      </c>
      <c r="C36" s="21">
        <v>0.43287340045679829</v>
      </c>
      <c r="D36" s="21">
        <v>0.10795100842803261</v>
      </c>
      <c r="E36" s="21">
        <v>1.0049999999999999</v>
      </c>
      <c r="F36" s="22"/>
      <c r="G36" s="21"/>
      <c r="H36" s="16"/>
      <c r="I36" s="11"/>
      <c r="J36" s="11"/>
      <c r="K36" s="11"/>
      <c r="L36" s="12"/>
      <c r="M36" s="16"/>
      <c r="N36" s="11"/>
      <c r="O36" s="11"/>
      <c r="P36" s="11"/>
      <c r="Q36" s="11"/>
      <c r="R36" s="17"/>
      <c r="S36" s="18"/>
      <c r="T36" s="18"/>
      <c r="U36" s="18"/>
      <c r="V36" s="10"/>
    </row>
    <row r="37" spans="1:22" x14ac:dyDescent="0.25">
      <c r="A37" s="1" t="s">
        <v>32</v>
      </c>
      <c r="B37" s="1" t="s">
        <v>3</v>
      </c>
      <c r="C37" s="22">
        <v>0.18255611436915836</v>
      </c>
      <c r="D37" s="22">
        <v>5.3242161248243568E-2</v>
      </c>
      <c r="E37" s="22">
        <v>1.9650000000000001</v>
      </c>
      <c r="F37" s="21">
        <v>4.3980839163562378E-5</v>
      </c>
      <c r="G37" s="22">
        <v>5.0363722610573444E-18</v>
      </c>
      <c r="H37" s="17"/>
      <c r="I37" s="18"/>
      <c r="J37" s="18"/>
      <c r="K37" s="18"/>
      <c r="L37" s="10"/>
      <c r="M37" s="17"/>
      <c r="N37" s="18"/>
      <c r="O37" s="18"/>
      <c r="P37" s="18"/>
      <c r="Q37" s="18"/>
      <c r="R37" s="17"/>
      <c r="S37" s="18"/>
      <c r="T37" s="18"/>
      <c r="U37" s="18"/>
      <c r="V37" s="10"/>
    </row>
    <row r="38" spans="1:22" x14ac:dyDescent="0.25">
      <c r="A38" s="3"/>
      <c r="B38" s="3" t="s">
        <v>2</v>
      </c>
      <c r="C38" s="22">
        <v>0.18309615925506573</v>
      </c>
      <c r="D38" s="22">
        <v>5.3805743780160002E-2</v>
      </c>
      <c r="E38" s="22">
        <v>1.0349999999999999</v>
      </c>
      <c r="F38" s="21"/>
      <c r="G38" s="22"/>
      <c r="H38" s="16"/>
      <c r="I38" s="11"/>
      <c r="J38" s="11"/>
      <c r="K38" s="11"/>
      <c r="L38" s="12"/>
      <c r="M38" s="16"/>
      <c r="N38" s="11"/>
      <c r="O38" s="11"/>
      <c r="P38" s="11"/>
      <c r="Q38" s="11"/>
      <c r="R38" s="17"/>
      <c r="S38" s="18"/>
      <c r="T38" s="18"/>
      <c r="U38" s="18"/>
      <c r="V38" s="10"/>
    </row>
    <row r="39" spans="1:22" x14ac:dyDescent="0.25">
      <c r="A39" s="1" t="s">
        <v>34</v>
      </c>
      <c r="B39" s="1" t="s">
        <v>3</v>
      </c>
      <c r="C39" s="21">
        <v>0.30692995730250761</v>
      </c>
      <c r="D39" s="21">
        <v>0.10578505037019108</v>
      </c>
      <c r="E39" s="21">
        <v>1.86</v>
      </c>
      <c r="F39" s="22">
        <v>0.17368568608896456</v>
      </c>
      <c r="G39" s="21">
        <v>8.8244897620700609E-15</v>
      </c>
      <c r="H39" s="17"/>
      <c r="I39" s="18"/>
      <c r="J39" s="18"/>
      <c r="K39" s="18"/>
      <c r="L39" s="10"/>
      <c r="M39" s="17"/>
      <c r="N39" s="18"/>
      <c r="O39" s="18"/>
      <c r="P39" s="18"/>
      <c r="Q39" s="18"/>
      <c r="R39" s="17"/>
      <c r="S39" s="18"/>
      <c r="T39" s="18"/>
      <c r="U39" s="18"/>
      <c r="V39" s="10"/>
    </row>
    <row r="40" spans="1:22" x14ac:dyDescent="0.25">
      <c r="A40" s="3"/>
      <c r="B40" s="3" t="s">
        <v>2</v>
      </c>
      <c r="C40" s="21">
        <v>0.30823871844554979</v>
      </c>
      <c r="D40" s="21">
        <v>0.10822017449055622</v>
      </c>
      <c r="E40" s="21">
        <v>1.1399999999999999</v>
      </c>
      <c r="F40" s="22"/>
      <c r="G40" s="21"/>
      <c r="H40" s="16"/>
      <c r="I40" s="11"/>
      <c r="J40" s="11"/>
      <c r="K40" s="11"/>
      <c r="L40" s="12"/>
      <c r="M40" s="16"/>
      <c r="N40" s="11"/>
      <c r="O40" s="11"/>
      <c r="P40" s="11"/>
      <c r="Q40" s="11"/>
      <c r="R40" s="17"/>
      <c r="S40" s="18"/>
      <c r="T40" s="18"/>
      <c r="U40" s="18"/>
      <c r="V40" s="10"/>
    </row>
    <row r="41" spans="1:22" x14ac:dyDescent="0.25">
      <c r="A41" s="1" t="s">
        <v>33</v>
      </c>
      <c r="B41" s="1" t="s">
        <v>3</v>
      </c>
      <c r="C41" s="22">
        <v>0.43145223053417714</v>
      </c>
      <c r="D41" s="22">
        <v>0.10791940402897623</v>
      </c>
      <c r="E41" s="22">
        <v>1.7</v>
      </c>
      <c r="F41" s="21">
        <v>3.1729992631601277E-4</v>
      </c>
      <c r="G41" s="22">
        <v>1.4414741585209142E-5</v>
      </c>
      <c r="H41" s="17"/>
      <c r="I41" s="18"/>
      <c r="J41" s="18"/>
      <c r="K41" s="18"/>
      <c r="L41" s="10"/>
      <c r="M41" s="17"/>
      <c r="N41" s="18"/>
      <c r="O41" s="18"/>
      <c r="P41" s="18"/>
      <c r="Q41" s="18"/>
      <c r="R41" s="17"/>
      <c r="S41" s="18"/>
      <c r="T41" s="18"/>
      <c r="U41" s="18"/>
      <c r="V41" s="10"/>
    </row>
    <row r="42" spans="1:22" x14ac:dyDescent="0.25">
      <c r="A42" s="3"/>
      <c r="B42" s="3" t="s">
        <v>2</v>
      </c>
      <c r="C42" s="22">
        <v>0.43216037763797777</v>
      </c>
      <c r="D42" s="22">
        <v>0.10814287630066378</v>
      </c>
      <c r="E42" s="22">
        <v>1.3</v>
      </c>
      <c r="F42" s="21"/>
      <c r="G42" s="22"/>
      <c r="H42" s="16"/>
      <c r="I42" s="11"/>
      <c r="J42" s="11"/>
      <c r="K42" s="11"/>
      <c r="L42" s="12"/>
      <c r="M42" s="16"/>
      <c r="N42" s="11"/>
      <c r="O42" s="11"/>
      <c r="P42" s="11"/>
      <c r="Q42" s="11"/>
      <c r="R42" s="17"/>
      <c r="S42" s="18"/>
      <c r="T42" s="18"/>
      <c r="U42" s="18"/>
      <c r="V42" s="10"/>
    </row>
    <row r="43" spans="1:22" x14ac:dyDescent="0.25">
      <c r="A43" s="1" t="s">
        <v>35</v>
      </c>
      <c r="B43" s="1" t="s">
        <v>3</v>
      </c>
      <c r="C43" s="21">
        <v>0.67666980528525089</v>
      </c>
      <c r="D43" s="21">
        <v>0.1658146855653404</v>
      </c>
      <c r="E43" s="21">
        <v>1.4</v>
      </c>
      <c r="F43" s="22">
        <v>0.47037770274353813</v>
      </c>
      <c r="G43" s="21">
        <v>3.5808322912072109E-2</v>
      </c>
      <c r="H43" s="17"/>
      <c r="I43" s="18"/>
      <c r="J43" s="18"/>
      <c r="K43" s="18"/>
      <c r="L43" s="10"/>
      <c r="M43" s="17"/>
      <c r="N43" s="18"/>
      <c r="O43" s="18"/>
      <c r="P43" s="18"/>
      <c r="Q43" s="18"/>
      <c r="R43" s="17"/>
      <c r="S43" s="18"/>
      <c r="T43" s="18"/>
      <c r="U43" s="18"/>
      <c r="V43" s="10"/>
    </row>
    <row r="44" spans="1:22" x14ac:dyDescent="0.25">
      <c r="A44" s="3"/>
      <c r="B44" s="3" t="s">
        <v>2</v>
      </c>
      <c r="C44" s="21">
        <v>0.67371799813374011</v>
      </c>
      <c r="D44" s="21">
        <v>0.16317783930011989</v>
      </c>
      <c r="E44" s="21">
        <v>1.6</v>
      </c>
      <c r="F44" s="22"/>
      <c r="G44" s="21"/>
      <c r="H44" s="16"/>
      <c r="I44" s="11"/>
      <c r="J44" s="11"/>
      <c r="K44" s="11"/>
      <c r="L44" s="12"/>
      <c r="M44" s="16"/>
      <c r="N44" s="11"/>
      <c r="O44" s="11"/>
      <c r="P44" s="11"/>
      <c r="Q44" s="11"/>
      <c r="R44" s="17"/>
      <c r="S44" s="18"/>
      <c r="T44" s="18"/>
      <c r="U44" s="18"/>
      <c r="V44" s="10"/>
    </row>
    <row r="45" spans="1:22" x14ac:dyDescent="0.25">
      <c r="A45" s="1" t="s">
        <v>36</v>
      </c>
      <c r="B45" s="1" t="s">
        <v>3</v>
      </c>
      <c r="C45" s="22">
        <v>0.22377759116306728</v>
      </c>
      <c r="D45" s="22">
        <v>6.1237119162755399E-2</v>
      </c>
      <c r="E45" s="22">
        <v>1.88</v>
      </c>
      <c r="F45" s="21">
        <v>4.2132045845676758E-5</v>
      </c>
      <c r="G45" s="22">
        <v>3.5861347307909937E-15</v>
      </c>
      <c r="H45" s="17"/>
      <c r="I45" s="18"/>
      <c r="J45" s="18"/>
      <c r="K45" s="18"/>
      <c r="L45" s="10"/>
      <c r="M45" s="17"/>
      <c r="N45" s="18"/>
      <c r="O45" s="18"/>
      <c r="P45" s="18"/>
      <c r="Q45" s="18"/>
      <c r="R45" s="17"/>
      <c r="S45" s="18"/>
      <c r="T45" s="18"/>
      <c r="U45" s="18"/>
      <c r="V45" s="10"/>
    </row>
    <row r="46" spans="1:22" x14ac:dyDescent="0.25">
      <c r="A46" s="3"/>
      <c r="B46" s="3" t="s">
        <v>2</v>
      </c>
      <c r="C46" s="22">
        <v>0.22441657866937256</v>
      </c>
      <c r="D46" s="22">
        <v>6.1773487167355347E-2</v>
      </c>
      <c r="E46" s="22">
        <v>1.1200000000000001</v>
      </c>
      <c r="F46" s="21"/>
      <c r="G46" s="22"/>
      <c r="H46" s="16"/>
      <c r="I46" s="11"/>
      <c r="J46" s="11"/>
      <c r="K46" s="11"/>
      <c r="L46" s="12"/>
      <c r="M46" s="16"/>
      <c r="N46" s="11"/>
      <c r="O46" s="11"/>
      <c r="P46" s="11"/>
      <c r="Q46" s="11"/>
      <c r="R46" s="16"/>
      <c r="S46" s="11"/>
      <c r="T46" s="11"/>
      <c r="U46" s="11"/>
      <c r="V46" s="12"/>
    </row>
    <row r="51" spans="1:22" x14ac:dyDescent="0.25">
      <c r="A51">
        <v>1</v>
      </c>
      <c r="B51">
        <v>2</v>
      </c>
      <c r="C51">
        <v>3</v>
      </c>
      <c r="D51">
        <v>4</v>
      </c>
      <c r="E51">
        <v>5</v>
      </c>
      <c r="F51">
        <v>6</v>
      </c>
      <c r="G51">
        <v>7</v>
      </c>
      <c r="H51">
        <v>8</v>
      </c>
      <c r="I51">
        <v>9</v>
      </c>
      <c r="J51">
        <v>10</v>
      </c>
      <c r="K51">
        <v>11</v>
      </c>
      <c r="L51">
        <v>12</v>
      </c>
      <c r="M51">
        <v>13</v>
      </c>
      <c r="N51">
        <v>14</v>
      </c>
      <c r="O51">
        <v>15</v>
      </c>
      <c r="P51">
        <v>16</v>
      </c>
      <c r="Q51">
        <v>17</v>
      </c>
      <c r="R51">
        <v>18</v>
      </c>
      <c r="S51">
        <v>19</v>
      </c>
      <c r="T51">
        <v>20</v>
      </c>
      <c r="U51">
        <v>21</v>
      </c>
      <c r="V51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1"/>
  <sheetViews>
    <sheetView zoomScaleNormal="100" workbookViewId="0">
      <selection activeCell="Z13" sqref="Z13"/>
    </sheetView>
  </sheetViews>
  <sheetFormatPr defaultRowHeight="15" x14ac:dyDescent="0.25"/>
  <sheetData>
    <row r="1" spans="1:22" x14ac:dyDescent="0.25">
      <c r="A1" s="6" t="s">
        <v>29</v>
      </c>
      <c r="B1" s="6" t="s">
        <v>23</v>
      </c>
      <c r="C1" s="1" t="s">
        <v>24</v>
      </c>
      <c r="D1" s="5"/>
      <c r="E1" s="5"/>
      <c r="F1" s="5"/>
      <c r="G1" s="5"/>
      <c r="H1" s="1" t="s">
        <v>25</v>
      </c>
      <c r="I1" s="5"/>
      <c r="J1" s="5"/>
      <c r="K1" s="5"/>
      <c r="L1" s="5"/>
      <c r="M1" s="1" t="s">
        <v>26</v>
      </c>
      <c r="N1" s="5"/>
      <c r="O1" s="5"/>
      <c r="P1" s="5"/>
      <c r="Q1" s="5"/>
      <c r="R1" s="7" t="s">
        <v>27</v>
      </c>
      <c r="S1" s="19"/>
      <c r="T1" s="19"/>
      <c r="U1" s="19"/>
      <c r="V1" s="9"/>
    </row>
    <row r="2" spans="1:22" x14ac:dyDescent="0.25">
      <c r="A2" s="6" t="s">
        <v>21</v>
      </c>
      <c r="B2" s="1" t="s">
        <v>22</v>
      </c>
      <c r="C2" s="1" t="s">
        <v>4</v>
      </c>
      <c r="D2" s="5" t="s">
        <v>5</v>
      </c>
      <c r="E2" s="5" t="s">
        <v>28</v>
      </c>
      <c r="F2" s="2" t="s">
        <v>37</v>
      </c>
      <c r="G2" s="2" t="s">
        <v>38</v>
      </c>
      <c r="H2" s="5" t="s">
        <v>4</v>
      </c>
      <c r="I2" s="5" t="s">
        <v>5</v>
      </c>
      <c r="J2" s="5" t="s">
        <v>28</v>
      </c>
      <c r="K2" s="2" t="s">
        <v>37</v>
      </c>
      <c r="L2" s="2" t="s">
        <v>38</v>
      </c>
      <c r="M2" s="1" t="s">
        <v>4</v>
      </c>
      <c r="N2" s="5" t="s">
        <v>5</v>
      </c>
      <c r="O2" s="5" t="s">
        <v>28</v>
      </c>
      <c r="P2" s="2" t="s">
        <v>37</v>
      </c>
      <c r="Q2" s="5" t="s">
        <v>38</v>
      </c>
      <c r="R2" s="7" t="s">
        <v>4</v>
      </c>
      <c r="S2" s="19" t="s">
        <v>5</v>
      </c>
      <c r="T2" s="19" t="s">
        <v>28</v>
      </c>
      <c r="U2" s="19" t="s">
        <v>37</v>
      </c>
      <c r="V2" s="9" t="s">
        <v>38</v>
      </c>
    </row>
    <row r="3" spans="1:22" x14ac:dyDescent="0.25">
      <c r="A3" s="1" t="s">
        <v>0</v>
      </c>
      <c r="B3" s="1" t="s">
        <v>3</v>
      </c>
      <c r="C3" s="21">
        <v>6.9433764971754255E-2</v>
      </c>
      <c r="D3" s="21">
        <v>0.14185758623124464</v>
      </c>
      <c r="E3" s="21">
        <v>1.71</v>
      </c>
      <c r="F3" s="22">
        <v>1.0340471175093102E-5</v>
      </c>
      <c r="G3" s="21">
        <v>2.8553338497184458E-9</v>
      </c>
      <c r="H3" s="22">
        <v>2.1115363444297673E-2</v>
      </c>
      <c r="I3" s="22">
        <v>4.708899267046053E-2</v>
      </c>
      <c r="J3" s="21">
        <v>1.54</v>
      </c>
      <c r="K3" s="22">
        <v>9.6221041330727342E-2</v>
      </c>
      <c r="L3" s="21">
        <v>0.21136125977767767</v>
      </c>
      <c r="M3" s="21">
        <v>2.0006197941259293E-2</v>
      </c>
      <c r="N3" s="21">
        <v>3.4984845745642118E-2</v>
      </c>
      <c r="O3" s="21">
        <v>1.28</v>
      </c>
      <c r="P3" s="22">
        <v>6.4062916578614862E-2</v>
      </c>
      <c r="Q3" s="21">
        <v>2.0685686077838283E-6</v>
      </c>
      <c r="R3" s="22">
        <v>6.0374850886407538E-2</v>
      </c>
      <c r="S3" s="22">
        <v>0.29405428817378637</v>
      </c>
      <c r="T3" s="21">
        <v>1.22</v>
      </c>
      <c r="U3" s="22">
        <v>0.31328429536061242</v>
      </c>
      <c r="V3" s="21">
        <v>2.9513446007373985E-8</v>
      </c>
    </row>
    <row r="4" spans="1:22" x14ac:dyDescent="0.25">
      <c r="A4" s="4"/>
      <c r="B4" s="4" t="s">
        <v>2</v>
      </c>
      <c r="C4" s="21">
        <v>1.4749114473031113E-2</v>
      </c>
      <c r="D4" s="21">
        <v>8.1114581517640269E-2</v>
      </c>
      <c r="E4" s="21">
        <v>1.29</v>
      </c>
      <c r="F4" s="22"/>
      <c r="G4" s="21"/>
      <c r="H4" s="22">
        <v>1.5502245444522169E-2</v>
      </c>
      <c r="I4" s="22">
        <v>2.3633671796469712E-2</v>
      </c>
      <c r="J4" s="21">
        <v>1.46</v>
      </c>
      <c r="K4" s="22"/>
      <c r="L4" s="21"/>
      <c r="M4" s="21">
        <v>2.6507322676736677E-2</v>
      </c>
      <c r="N4" s="21">
        <v>1.5496194517878989E-2</v>
      </c>
      <c r="O4" s="21">
        <v>1.72</v>
      </c>
      <c r="P4" s="22"/>
      <c r="Q4" s="21"/>
      <c r="R4" s="22">
        <v>3.0228896202936107E-2</v>
      </c>
      <c r="S4" s="22">
        <v>1.4474677440223049E-2</v>
      </c>
      <c r="T4" s="21">
        <v>1.78</v>
      </c>
      <c r="U4" s="22"/>
      <c r="V4" s="21"/>
    </row>
    <row r="5" spans="1:22" x14ac:dyDescent="0.25">
      <c r="A5" s="1" t="s">
        <v>1</v>
      </c>
      <c r="B5" s="1" t="s">
        <v>3</v>
      </c>
      <c r="C5" s="22">
        <v>7.0962612164207967E-6</v>
      </c>
      <c r="D5" s="22">
        <v>6.3346227647133579E-6</v>
      </c>
      <c r="E5" s="22">
        <v>1.47</v>
      </c>
      <c r="F5" s="21">
        <v>4.1098850565778602E-5</v>
      </c>
      <c r="G5" s="22">
        <v>6.4172960121404229E-8</v>
      </c>
      <c r="H5" s="21">
        <v>3.4149709002950291E-4</v>
      </c>
      <c r="I5" s="21">
        <v>5.2556533589067408E-4</v>
      </c>
      <c r="J5" s="22">
        <v>1.55</v>
      </c>
      <c r="K5" s="21">
        <v>1.0884390175463265E-4</v>
      </c>
      <c r="L5" s="22">
        <v>1.6474446070716686E-2</v>
      </c>
      <c r="M5" s="22">
        <v>1.2572262029637217E-3</v>
      </c>
      <c r="N5" s="22">
        <v>1.4623965204576216E-3</v>
      </c>
      <c r="O5" s="22">
        <v>1.7050000000000001</v>
      </c>
      <c r="P5" s="21">
        <v>2.6072549861946172E-6</v>
      </c>
      <c r="Q5" s="22">
        <v>7.6234545846602917E-8</v>
      </c>
      <c r="R5" s="21">
        <v>6.2022928296622225E-3</v>
      </c>
      <c r="S5" s="21">
        <v>1.028689373332947E-2</v>
      </c>
      <c r="T5" s="22">
        <v>1.7849999999999999</v>
      </c>
      <c r="U5" s="21">
        <v>1.1794414026744971E-6</v>
      </c>
      <c r="V5" s="22">
        <v>6.8355681308719073E-11</v>
      </c>
    </row>
    <row r="6" spans="1:22" x14ac:dyDescent="0.25">
      <c r="A6" s="3"/>
      <c r="B6" s="3" t="s">
        <v>2</v>
      </c>
      <c r="C6" s="22">
        <v>9.5733392047506506E-6</v>
      </c>
      <c r="D6" s="22">
        <v>9.6846231422653397E-6</v>
      </c>
      <c r="E6" s="22">
        <v>1.53</v>
      </c>
      <c r="F6" s="21"/>
      <c r="G6" s="22"/>
      <c r="H6" s="21">
        <v>1.4652979850102968E-4</v>
      </c>
      <c r="I6" s="21">
        <v>1.1698857433827213E-4</v>
      </c>
      <c r="J6" s="22">
        <v>1.45</v>
      </c>
      <c r="K6" s="21"/>
      <c r="L6" s="22"/>
      <c r="M6" s="22">
        <v>5.6405982331884626E-4</v>
      </c>
      <c r="N6" s="22">
        <v>2.4386369785301E-4</v>
      </c>
      <c r="O6" s="22">
        <v>1.2949999999999999</v>
      </c>
      <c r="P6" s="21"/>
      <c r="Q6" s="22"/>
      <c r="R6" s="21">
        <v>1.0416020099665543E-3</v>
      </c>
      <c r="S6" s="21">
        <v>6.0220566884220739E-4</v>
      </c>
      <c r="T6" s="22">
        <v>1.2150000000000001</v>
      </c>
      <c r="U6" s="21"/>
      <c r="V6" s="22"/>
    </row>
    <row r="7" spans="1:22" x14ac:dyDescent="0.25">
      <c r="A7" s="1" t="s">
        <v>7</v>
      </c>
      <c r="B7" s="1" t="s">
        <v>3</v>
      </c>
      <c r="C7" s="21">
        <v>1.1605051359888919E-2</v>
      </c>
      <c r="D7" s="21">
        <v>9.7805799628393905E-2</v>
      </c>
      <c r="E7" s="21">
        <v>1.5349999999999999</v>
      </c>
      <c r="F7" s="22">
        <v>0.31940866913162741</v>
      </c>
      <c r="G7" s="21">
        <v>0.71679667255676627</v>
      </c>
      <c r="H7" s="22">
        <v>0.52454005885478883</v>
      </c>
      <c r="I7" s="22">
        <v>1.235154778735162</v>
      </c>
      <c r="J7" s="21">
        <v>1.7450000000000001</v>
      </c>
      <c r="K7" s="22">
        <v>8.339895253714358E-5</v>
      </c>
      <c r="L7" s="21">
        <v>1.5031648513711727E-8</v>
      </c>
      <c r="M7" s="21">
        <v>4.3470589161724975</v>
      </c>
      <c r="N7" s="21">
        <v>5.8450969057588553</v>
      </c>
      <c r="O7" s="21">
        <v>1.77</v>
      </c>
      <c r="P7" s="22">
        <v>1.8965288608793487E-11</v>
      </c>
      <c r="Q7" s="21">
        <v>1.4324056549731701E-11</v>
      </c>
      <c r="R7" s="22">
        <v>13.83317030516303</v>
      </c>
      <c r="S7" s="22">
        <v>22.059522954015307</v>
      </c>
      <c r="T7" s="21">
        <v>1.67</v>
      </c>
      <c r="U7" s="22">
        <v>6.7242042992955715E-9</v>
      </c>
      <c r="V7" s="21">
        <v>3.1923645775344742E-8</v>
      </c>
    </row>
    <row r="8" spans="1:22" x14ac:dyDescent="0.25">
      <c r="A8" s="3"/>
      <c r="B8" s="3" t="s">
        <v>2</v>
      </c>
      <c r="C8" s="21">
        <v>1.7848381620127537E-3</v>
      </c>
      <c r="D8" s="21">
        <v>1.2191421986706772E-3</v>
      </c>
      <c r="E8" s="21">
        <v>1.4650000000000001</v>
      </c>
      <c r="F8" s="22"/>
      <c r="G8" s="21"/>
      <c r="H8" s="22">
        <v>4.1437031826171769E-2</v>
      </c>
      <c r="I8" s="22">
        <v>0.19860821783016031</v>
      </c>
      <c r="J8" s="21">
        <v>1.2549999999999999</v>
      </c>
      <c r="K8" s="22"/>
      <c r="L8" s="21"/>
      <c r="M8" s="21">
        <v>0.27675100435209471</v>
      </c>
      <c r="N8" s="21">
        <v>1.3810991832011863</v>
      </c>
      <c r="O8" s="21">
        <v>1.23</v>
      </c>
      <c r="P8" s="22"/>
      <c r="Q8" s="21"/>
      <c r="R8" s="22">
        <v>0.95301897999053198</v>
      </c>
      <c r="S8" s="22">
        <v>2.8631904803382122</v>
      </c>
      <c r="T8" s="21">
        <v>1.33</v>
      </c>
      <c r="U8" s="22"/>
      <c r="V8" s="21"/>
    </row>
    <row r="9" spans="1:22" x14ac:dyDescent="0.25">
      <c r="A9" s="1" t="s">
        <v>8</v>
      </c>
      <c r="B9" s="1" t="s">
        <v>3</v>
      </c>
      <c r="C9" s="22">
        <v>7.7411175315508463E-6</v>
      </c>
      <c r="D9" s="22">
        <v>7.1997345146239257E-6</v>
      </c>
      <c r="E9" s="22">
        <v>1.5</v>
      </c>
      <c r="F9" s="21">
        <v>4.1054689479911068E-2</v>
      </c>
      <c r="G9" s="22">
        <v>1.4293302288903518E-2</v>
      </c>
      <c r="H9" s="21">
        <v>2.2492650513423381E-4</v>
      </c>
      <c r="I9" s="21">
        <v>2.592225093127346E-4</v>
      </c>
      <c r="J9" s="22">
        <v>1.645</v>
      </c>
      <c r="K9" s="21">
        <v>8.5855624191504917E-5</v>
      </c>
      <c r="L9" s="22">
        <v>2.4216004795076131E-4</v>
      </c>
      <c r="M9" s="22">
        <v>1.1188132985198954E-3</v>
      </c>
      <c r="N9" s="22">
        <v>1.2109547144298755E-3</v>
      </c>
      <c r="O9" s="22">
        <v>1.5149999999999999</v>
      </c>
      <c r="P9" s="21">
        <v>1.4393547160389803E-4</v>
      </c>
      <c r="Q9" s="22">
        <v>1.8067933089117047E-3</v>
      </c>
      <c r="R9" s="21">
        <v>3.1485909269921035E-3</v>
      </c>
      <c r="S9" s="21">
        <v>3.5905669540247168E-3</v>
      </c>
      <c r="T9" s="22">
        <v>1.675</v>
      </c>
      <c r="U9" s="21">
        <v>1.70261650291318E-7</v>
      </c>
      <c r="V9" s="22">
        <v>5.9090301391643634E-7</v>
      </c>
    </row>
    <row r="10" spans="1:22" x14ac:dyDescent="0.25">
      <c r="A10" s="3"/>
      <c r="B10" s="3" t="s">
        <v>2</v>
      </c>
      <c r="C10" s="22">
        <v>8.7462161184853385E-6</v>
      </c>
      <c r="D10" s="22">
        <v>8.5630872529883572E-6</v>
      </c>
      <c r="E10" s="22">
        <v>1.5</v>
      </c>
      <c r="F10" s="21"/>
      <c r="G10" s="22"/>
      <c r="H10" s="21">
        <v>1.2748940339275781E-4</v>
      </c>
      <c r="I10" s="21">
        <v>9.4532225924317756E-5</v>
      </c>
      <c r="J10" s="22">
        <v>1.355</v>
      </c>
      <c r="K10" s="21"/>
      <c r="L10" s="22"/>
      <c r="M10" s="22">
        <v>6.7709054022346133E-4</v>
      </c>
      <c r="N10" s="22">
        <v>2.4837389593993978E-4</v>
      </c>
      <c r="O10" s="22">
        <v>1.4850000000000001</v>
      </c>
      <c r="P10" s="21"/>
      <c r="Q10" s="22"/>
      <c r="R10" s="21">
        <v>1.2584186155211879E-3</v>
      </c>
      <c r="S10" s="21">
        <v>4.4648921482513988E-4</v>
      </c>
      <c r="T10" s="22">
        <v>1.325</v>
      </c>
      <c r="U10" s="21"/>
      <c r="V10" s="22"/>
    </row>
    <row r="11" spans="1:22" x14ac:dyDescent="0.25">
      <c r="A11" s="1" t="s">
        <v>9</v>
      </c>
      <c r="B11" s="1" t="s">
        <v>3</v>
      </c>
      <c r="C11" s="21">
        <v>3.2249049266899955E-2</v>
      </c>
      <c r="D11" s="21">
        <v>0.10559616717804107</v>
      </c>
      <c r="E11" s="21">
        <v>1.7150000000000001</v>
      </c>
      <c r="F11" s="22">
        <v>0.90024665306353413</v>
      </c>
      <c r="G11" s="21">
        <v>4.6112911101502076E-9</v>
      </c>
      <c r="H11" s="22">
        <v>1.3447056956359379E-2</v>
      </c>
      <c r="I11" s="22">
        <v>1.0799444198149676E-2</v>
      </c>
      <c r="J11" s="21">
        <v>1.18</v>
      </c>
      <c r="K11" s="22">
        <v>1.5126966802566568E-10</v>
      </c>
      <c r="L11" s="21">
        <v>4.6961159892019448E-12</v>
      </c>
      <c r="M11" s="21">
        <v>2.2616520601390633E-2</v>
      </c>
      <c r="N11" s="21">
        <v>3.4382611516277986E-2</v>
      </c>
      <c r="O11" s="21">
        <v>1.1599999999999999</v>
      </c>
      <c r="P11" s="22">
        <v>5.1486635196315991E-14</v>
      </c>
      <c r="Q11" s="21">
        <v>2.382740940354442E-13</v>
      </c>
      <c r="R11" s="22">
        <v>3.3296202416147891E-2</v>
      </c>
      <c r="S11" s="22">
        <v>4.0812341432755028E-2</v>
      </c>
      <c r="T11" s="21">
        <v>1.1000000000000001</v>
      </c>
      <c r="U11" s="22">
        <v>3.7208980845021358E-19</v>
      </c>
      <c r="V11" s="21">
        <v>2.2439863193964527E-15</v>
      </c>
    </row>
    <row r="12" spans="1:22" x14ac:dyDescent="0.25">
      <c r="A12" s="3"/>
      <c r="B12" s="3" t="s">
        <v>2</v>
      </c>
      <c r="C12" s="21">
        <v>3.0224313417531561E-2</v>
      </c>
      <c r="D12" s="21">
        <v>0.19938310218489769</v>
      </c>
      <c r="E12" s="21">
        <v>1.2849999999999999</v>
      </c>
      <c r="F12" s="22"/>
      <c r="G12" s="21"/>
      <c r="H12" s="22">
        <v>3.2419622721822444E-2</v>
      </c>
      <c r="I12" s="22">
        <v>2.8431270505396001E-2</v>
      </c>
      <c r="J12" s="21">
        <v>1.82</v>
      </c>
      <c r="K12" s="22"/>
      <c r="L12" s="21"/>
      <c r="M12" s="21">
        <v>5.501589323461397E-2</v>
      </c>
      <c r="N12" s="21">
        <v>5.4327624509542767E-2</v>
      </c>
      <c r="O12" s="21">
        <v>1.84</v>
      </c>
      <c r="P12" s="22"/>
      <c r="Q12" s="21"/>
      <c r="R12" s="22">
        <v>7.7733244711608473E-2</v>
      </c>
      <c r="S12" s="22">
        <v>5.2178029331589777E-2</v>
      </c>
      <c r="T12" s="21">
        <v>1.9</v>
      </c>
      <c r="U12" s="22"/>
      <c r="V12" s="21"/>
    </row>
    <row r="13" spans="1:22" x14ac:dyDescent="0.25">
      <c r="A13" s="1" t="s">
        <v>10</v>
      </c>
      <c r="B13" s="1" t="s">
        <v>3</v>
      </c>
      <c r="C13" s="22">
        <v>0.16197672106741617</v>
      </c>
      <c r="D13" s="22">
        <v>1.3442322131132651</v>
      </c>
      <c r="E13" s="22">
        <v>1.625</v>
      </c>
      <c r="F13" s="21">
        <v>0.26293732200386827</v>
      </c>
      <c r="G13" s="22">
        <v>1.6856300473563604E-6</v>
      </c>
      <c r="H13" s="21">
        <v>8.1481053826851127E-2</v>
      </c>
      <c r="I13" s="21">
        <v>7.9296617662702448E-2</v>
      </c>
      <c r="J13" s="22">
        <v>1.25</v>
      </c>
      <c r="K13" s="21">
        <v>7.0642148653528746E-8</v>
      </c>
      <c r="L13" s="22">
        <v>5.6091264045008076E-8</v>
      </c>
      <c r="M13" s="22">
        <v>0.39630287156960414</v>
      </c>
      <c r="N13" s="22">
        <v>0.21161590785328332</v>
      </c>
      <c r="O13" s="22">
        <v>1.31</v>
      </c>
      <c r="P13" s="21">
        <v>3.1675209963584331E-8</v>
      </c>
      <c r="Q13" s="22">
        <v>2.6687583246606864E-7</v>
      </c>
      <c r="R13" s="21">
        <v>0.67561800832023866</v>
      </c>
      <c r="S13" s="21">
        <v>0.21824398866323252</v>
      </c>
      <c r="T13" s="22">
        <v>1.25</v>
      </c>
      <c r="U13" s="21">
        <v>1.0157320303607676E-4</v>
      </c>
      <c r="V13" s="22">
        <v>2.3638576414127373E-5</v>
      </c>
    </row>
    <row r="14" spans="1:22" x14ac:dyDescent="0.25">
      <c r="A14" s="3"/>
      <c r="B14" s="3" t="s">
        <v>2</v>
      </c>
      <c r="C14" s="22">
        <v>1.0108113915017763E-2</v>
      </c>
      <c r="D14" s="22">
        <v>6.0172206930701716E-2</v>
      </c>
      <c r="E14" s="22">
        <v>1.375</v>
      </c>
      <c r="F14" s="21"/>
      <c r="G14" s="22"/>
      <c r="H14" s="21">
        <v>0.14303932598526295</v>
      </c>
      <c r="I14" s="21">
        <v>0.1383540150002352</v>
      </c>
      <c r="J14" s="22">
        <v>1.75</v>
      </c>
      <c r="K14" s="21"/>
      <c r="L14" s="22"/>
      <c r="M14" s="22">
        <v>0.48504239524690695</v>
      </c>
      <c r="N14" s="22">
        <v>0.21265656712071587</v>
      </c>
      <c r="O14" s="22">
        <v>1.69</v>
      </c>
      <c r="P14" s="21"/>
      <c r="Q14" s="22"/>
      <c r="R14" s="21">
        <v>0.74221843876827076</v>
      </c>
      <c r="S14" s="21">
        <v>0.2209683568615719</v>
      </c>
      <c r="T14" s="22">
        <v>1.75</v>
      </c>
      <c r="U14" s="21"/>
      <c r="V14" s="22"/>
    </row>
    <row r="15" spans="1:22" x14ac:dyDescent="0.25">
      <c r="A15" s="1" t="s">
        <v>11</v>
      </c>
      <c r="B15" s="1" t="s">
        <v>3</v>
      </c>
      <c r="C15" s="21">
        <v>3.5127540041679266</v>
      </c>
      <c r="D15" s="21">
        <v>7.5177072633675062</v>
      </c>
      <c r="E15" s="21">
        <v>1.6950000000000001</v>
      </c>
      <c r="F15" s="22">
        <v>0.38512851436153583</v>
      </c>
      <c r="G15" s="21">
        <v>1.0439224283878861E-4</v>
      </c>
      <c r="H15" s="22">
        <v>4.2517933848447171</v>
      </c>
      <c r="I15" s="22">
        <v>11.630635148550841</v>
      </c>
      <c r="J15" s="21">
        <v>1.2749999999999999</v>
      </c>
      <c r="K15" s="22">
        <v>0.63567760320470756</v>
      </c>
      <c r="L15" s="21">
        <v>2.3892293563990087E-4</v>
      </c>
      <c r="M15" s="21">
        <v>1.5492269527754843</v>
      </c>
      <c r="N15" s="21">
        <v>8.4302690712541857</v>
      </c>
      <c r="O15" s="21">
        <v>1.2350000000000001</v>
      </c>
      <c r="P15" s="22">
        <v>0.54277204228954123</v>
      </c>
      <c r="Q15" s="21">
        <v>2.4002315365180251E-5</v>
      </c>
      <c r="R15" s="22">
        <v>0.12273026563354807</v>
      </c>
      <c r="S15" s="22">
        <v>0.23160537043420085</v>
      </c>
      <c r="T15" s="21">
        <v>1.25</v>
      </c>
      <c r="U15" s="22">
        <v>0.30702763535308636</v>
      </c>
      <c r="V15" s="21">
        <v>2.6701662073240301E-5</v>
      </c>
    </row>
    <row r="16" spans="1:22" x14ac:dyDescent="0.25">
      <c r="A16" s="3"/>
      <c r="B16" s="3" t="s">
        <v>2</v>
      </c>
      <c r="C16" s="21">
        <v>3.239361322972981</v>
      </c>
      <c r="D16" s="21">
        <v>7.1227273877534163</v>
      </c>
      <c r="E16" s="21">
        <v>1.3049999999999999</v>
      </c>
      <c r="F16" s="22"/>
      <c r="G16" s="21"/>
      <c r="H16" s="22">
        <v>4.3411345314049274</v>
      </c>
      <c r="I16" s="22">
        <v>11.79820699657208</v>
      </c>
      <c r="J16" s="21">
        <v>1.7250000000000001</v>
      </c>
      <c r="K16" s="22"/>
      <c r="L16" s="21"/>
      <c r="M16" s="21">
        <v>1.4812449334149589</v>
      </c>
      <c r="N16" s="21">
        <v>8.7002017236415146</v>
      </c>
      <c r="O16" s="21">
        <v>1.7649999999999999</v>
      </c>
      <c r="P16" s="22"/>
      <c r="Q16" s="21"/>
      <c r="R16" s="22">
        <v>0.1364367295084454</v>
      </c>
      <c r="S16" s="22">
        <v>0.19280154846218331</v>
      </c>
      <c r="T16" s="21">
        <v>1.75</v>
      </c>
      <c r="U16" s="22"/>
      <c r="V16" s="21"/>
    </row>
    <row r="17" spans="1:22" x14ac:dyDescent="0.25">
      <c r="A17" s="1" t="s">
        <v>12</v>
      </c>
      <c r="B17" s="1" t="s">
        <v>3</v>
      </c>
      <c r="C17" s="22">
        <v>0.74966970885413386</v>
      </c>
      <c r="D17" s="22">
        <v>3.1987382146683023</v>
      </c>
      <c r="E17" s="22">
        <v>1.87</v>
      </c>
      <c r="F17" s="21">
        <v>0.99481786716557918</v>
      </c>
      <c r="G17" s="22">
        <v>4.6062399502397699E-10</v>
      </c>
      <c r="H17" s="21">
        <v>0.24883659882658851</v>
      </c>
      <c r="I17" s="21">
        <v>0.15625002689641676</v>
      </c>
      <c r="J17" s="22">
        <v>1.81</v>
      </c>
      <c r="K17" s="21">
        <v>4.1913015588583004E-12</v>
      </c>
      <c r="L17" s="22">
        <v>2.582004628820302E-11</v>
      </c>
      <c r="M17" s="22">
        <v>0.19125414517283024</v>
      </c>
      <c r="N17" s="22">
        <v>0.1423329665685244</v>
      </c>
      <c r="O17" s="22">
        <v>1.27</v>
      </c>
      <c r="P17" s="21">
        <v>3.9407143841541901E-7</v>
      </c>
      <c r="Q17" s="22">
        <v>2.8193683735408768E-7</v>
      </c>
      <c r="R17" s="21">
        <v>0.12801944809375113</v>
      </c>
      <c r="S17" s="21">
        <v>7.6574277902461754E-2</v>
      </c>
      <c r="T17" s="22">
        <v>1.02</v>
      </c>
      <c r="U17" s="21">
        <v>1.3876982598410286E-37</v>
      </c>
      <c r="V17" s="22">
        <v>1.3529498038064996E-17</v>
      </c>
    </row>
    <row r="18" spans="1:22" x14ac:dyDescent="0.25">
      <c r="A18" s="3"/>
      <c r="B18" s="3" t="s">
        <v>2</v>
      </c>
      <c r="C18" s="22">
        <v>0.74824716340975894</v>
      </c>
      <c r="D18" s="22">
        <v>3.3715851538925432</v>
      </c>
      <c r="E18" s="22">
        <v>1.1299999999999999</v>
      </c>
      <c r="F18" s="21"/>
      <c r="G18" s="22"/>
      <c r="H18" s="21">
        <v>0.15848708327341179</v>
      </c>
      <c r="I18" s="21">
        <v>0.13082309529498148</v>
      </c>
      <c r="J18" s="22">
        <v>1.19</v>
      </c>
      <c r="K18" s="21"/>
      <c r="L18" s="22"/>
      <c r="M18" s="22">
        <v>0.2700820707140722</v>
      </c>
      <c r="N18" s="22">
        <v>0.10281678464048569</v>
      </c>
      <c r="O18" s="22">
        <v>1.73</v>
      </c>
      <c r="P18" s="21"/>
      <c r="Q18" s="22"/>
      <c r="R18" s="21">
        <v>0.37973883294908295</v>
      </c>
      <c r="S18" s="21">
        <v>0.10193850882443528</v>
      </c>
      <c r="T18" s="22">
        <v>1.98</v>
      </c>
      <c r="U18" s="21"/>
      <c r="V18" s="22"/>
    </row>
    <row r="19" spans="1:22" x14ac:dyDescent="0.25">
      <c r="A19" s="1" t="s">
        <v>13</v>
      </c>
      <c r="B19" s="1" t="s">
        <v>3</v>
      </c>
      <c r="C19" s="21">
        <v>7.5938943913434862</v>
      </c>
      <c r="D19" s="21">
        <v>9.3976187308462951</v>
      </c>
      <c r="E19" s="21">
        <v>1.67</v>
      </c>
      <c r="F19" s="22">
        <v>0.95396699805782881</v>
      </c>
      <c r="G19" s="21">
        <v>3.6727320596848329E-2</v>
      </c>
      <c r="H19" s="22">
        <v>5.4022631377248498</v>
      </c>
      <c r="I19" s="22">
        <v>12.55278668570743</v>
      </c>
      <c r="J19" s="21">
        <v>1.5</v>
      </c>
      <c r="K19" s="22">
        <v>0.80429508156561813</v>
      </c>
      <c r="L19" s="21">
        <v>0.87839397305208966</v>
      </c>
      <c r="M19" s="21">
        <v>0.95308354067338197</v>
      </c>
      <c r="N19" s="21">
        <v>6.1610865122785148</v>
      </c>
      <c r="O19" s="21">
        <v>1.26</v>
      </c>
      <c r="P19" s="22">
        <v>0.16196896460192139</v>
      </c>
      <c r="Q19" s="21">
        <v>1.6077850259850657E-5</v>
      </c>
      <c r="R19" s="22">
        <v>1.2841828246694038</v>
      </c>
      <c r="S19" s="22">
        <v>8.8568878939725852</v>
      </c>
      <c r="T19" s="21">
        <v>1.19</v>
      </c>
      <c r="U19" s="22">
        <v>0.21155069557855644</v>
      </c>
      <c r="V19" s="21">
        <v>6.175541635966623E-8</v>
      </c>
    </row>
    <row r="20" spans="1:22" x14ac:dyDescent="0.25">
      <c r="A20" s="3"/>
      <c r="B20" s="3" t="s">
        <v>2</v>
      </c>
      <c r="C20" s="21">
        <v>7.5624292980372774</v>
      </c>
      <c r="D20" s="21">
        <v>9.4230841563998311</v>
      </c>
      <c r="E20" s="21">
        <v>1.33</v>
      </c>
      <c r="F20" s="22"/>
      <c r="G20" s="21"/>
      <c r="H20" s="22">
        <v>5.0066228520167888</v>
      </c>
      <c r="I20" s="22">
        <v>12.251379086589456</v>
      </c>
      <c r="J20" s="21">
        <v>1.5</v>
      </c>
      <c r="K20" s="22"/>
      <c r="L20" s="21"/>
      <c r="M20" s="21">
        <v>2.7229772672228667</v>
      </c>
      <c r="N20" s="21">
        <v>10.652560091946183</v>
      </c>
      <c r="O20" s="21">
        <v>1.74</v>
      </c>
      <c r="P20" s="22"/>
      <c r="Q20" s="21"/>
      <c r="R20" s="22">
        <v>0.16249556058919751</v>
      </c>
      <c r="S20" s="22">
        <v>0.26503445741760184</v>
      </c>
      <c r="T20" s="21">
        <v>1.81</v>
      </c>
      <c r="U20" s="22"/>
      <c r="V20" s="21"/>
    </row>
    <row r="21" spans="1:22" x14ac:dyDescent="0.25">
      <c r="A21" s="1" t="s">
        <v>14</v>
      </c>
      <c r="B21" s="1" t="s">
        <v>3</v>
      </c>
      <c r="C21" s="22">
        <v>9.4919623417114712E-2</v>
      </c>
      <c r="D21" s="22">
        <v>0.13807360636022351</v>
      </c>
      <c r="E21" s="22">
        <v>1.92</v>
      </c>
      <c r="F21" s="21">
        <v>7.9642095514810485E-8</v>
      </c>
      <c r="G21" s="22">
        <v>1.7004690306981196E-15</v>
      </c>
      <c r="H21" s="21">
        <v>8.1150633327109312E-2</v>
      </c>
      <c r="I21" s="21">
        <v>0.13856598614002724</v>
      </c>
      <c r="J21" s="22">
        <v>1.27</v>
      </c>
      <c r="K21" s="21">
        <v>8.9455736785185031E-5</v>
      </c>
      <c r="L21" s="22">
        <v>9.6869391888979488E-7</v>
      </c>
      <c r="M21" s="22">
        <v>0.12040768927716078</v>
      </c>
      <c r="N21" s="22">
        <v>0.18554906720167544</v>
      </c>
      <c r="O21" s="22">
        <v>1.0900000000000001</v>
      </c>
      <c r="P21" s="21">
        <v>1.8932273889353582E-13</v>
      </c>
      <c r="Q21" s="22">
        <v>1.3963593266821636E-14</v>
      </c>
      <c r="R21" s="21">
        <v>0.1610171480668765</v>
      </c>
      <c r="S21" s="21">
        <v>0.23253342557776732</v>
      </c>
      <c r="T21" s="22">
        <v>1.05</v>
      </c>
      <c r="U21" s="21">
        <v>1.784237092838483E-20</v>
      </c>
      <c r="V21" s="22">
        <v>1.6538485991001731E-15</v>
      </c>
    </row>
    <row r="22" spans="1:22" x14ac:dyDescent="0.25">
      <c r="A22" s="3"/>
      <c r="B22" s="3" t="s">
        <v>2</v>
      </c>
      <c r="C22" s="22">
        <v>1.3430849203152058E-2</v>
      </c>
      <c r="D22" s="22">
        <v>9.2268415011165561E-2</v>
      </c>
      <c r="E22" s="22">
        <v>1.08</v>
      </c>
      <c r="F22" s="21"/>
      <c r="G22" s="22"/>
      <c r="H22" s="21">
        <v>0.14932676439738554</v>
      </c>
      <c r="I22" s="21">
        <v>0.20224761242522907</v>
      </c>
      <c r="J22" s="22">
        <v>1.73</v>
      </c>
      <c r="K22" s="21"/>
      <c r="L22" s="22"/>
      <c r="M22" s="22">
        <v>0.21324066857392207</v>
      </c>
      <c r="N22" s="22">
        <v>0.19720854247178649</v>
      </c>
      <c r="O22" s="22">
        <v>1.91</v>
      </c>
      <c r="P22" s="21"/>
      <c r="Q22" s="22"/>
      <c r="R22" s="21">
        <v>0.27885956980371346</v>
      </c>
      <c r="S22" s="21">
        <v>0.21296938311941771</v>
      </c>
      <c r="T22" s="22">
        <v>1.95</v>
      </c>
      <c r="U22" s="21"/>
      <c r="V22" s="22"/>
    </row>
    <row r="23" spans="1:22" x14ac:dyDescent="0.25">
      <c r="A23" s="1" t="s">
        <v>15</v>
      </c>
      <c r="B23" s="1" t="s">
        <v>3</v>
      </c>
      <c r="C23" s="21">
        <v>5.9509794310279199E-4</v>
      </c>
      <c r="D23" s="21">
        <v>3.7942531366571034E-4</v>
      </c>
      <c r="E23" s="21">
        <v>1.605</v>
      </c>
      <c r="F23" s="22">
        <v>2.9138653015464127E-2</v>
      </c>
      <c r="G23" s="21">
        <v>1.2613306528119027E-2</v>
      </c>
      <c r="H23" s="22">
        <v>2.770221104753084E-3</v>
      </c>
      <c r="I23" s="22">
        <v>1.2260822504086102E-3</v>
      </c>
      <c r="J23" s="21">
        <v>1.4950000000000001</v>
      </c>
      <c r="K23" s="22">
        <v>0.81909275005970472</v>
      </c>
      <c r="L23" s="21">
        <v>0.91102515592201205</v>
      </c>
      <c r="M23" s="21">
        <v>6.8694024758822218E-3</v>
      </c>
      <c r="N23" s="21">
        <v>2.1597452323941654E-3</v>
      </c>
      <c r="O23" s="21">
        <v>1.27</v>
      </c>
      <c r="P23" s="22">
        <v>3.0806213000586831E-8</v>
      </c>
      <c r="Q23" s="21">
        <v>1.2709502259115731E-7</v>
      </c>
      <c r="R23" s="22">
        <v>1.0730274357377289E-2</v>
      </c>
      <c r="S23" s="22">
        <v>2.2342290339339675E-3</v>
      </c>
      <c r="T23" s="21">
        <v>1.5</v>
      </c>
      <c r="U23" s="22">
        <v>0.48500065573879564</v>
      </c>
      <c r="V23" s="21">
        <v>0.71679667255676627</v>
      </c>
    </row>
    <row r="24" spans="1:22" x14ac:dyDescent="0.25">
      <c r="A24" s="3"/>
      <c r="B24" s="3" t="s">
        <v>2</v>
      </c>
      <c r="C24" s="21">
        <v>5.4046099134464937E-4</v>
      </c>
      <c r="D24" s="21">
        <v>3.1733605795792707E-4</v>
      </c>
      <c r="E24" s="21">
        <v>1.395</v>
      </c>
      <c r="F24" s="22"/>
      <c r="G24" s="21"/>
      <c r="H24" s="22">
        <v>2.7888259987677733E-3</v>
      </c>
      <c r="I24" s="22">
        <v>1.2304252395830915E-3</v>
      </c>
      <c r="J24" s="21">
        <v>1.5049999999999999</v>
      </c>
      <c r="K24" s="22"/>
      <c r="L24" s="21"/>
      <c r="M24" s="21">
        <v>7.9061011027629809E-3</v>
      </c>
      <c r="N24" s="21">
        <v>2.4853120975612143E-3</v>
      </c>
      <c r="O24" s="21">
        <v>1.73</v>
      </c>
      <c r="P24" s="22"/>
      <c r="Q24" s="21"/>
      <c r="R24" s="22">
        <v>1.0511688626949319E-2</v>
      </c>
      <c r="S24" s="22">
        <v>2.5829600212182802E-3</v>
      </c>
      <c r="T24" s="21">
        <v>1.5</v>
      </c>
      <c r="U24" s="22"/>
      <c r="V24" s="21"/>
    </row>
    <row r="25" spans="1:22" x14ac:dyDescent="0.25">
      <c r="A25" s="1" t="s">
        <v>16</v>
      </c>
      <c r="B25" s="1" t="s">
        <v>3</v>
      </c>
      <c r="C25" s="22">
        <v>2.2746363302253648E-2</v>
      </c>
      <c r="D25" s="22">
        <v>4.9547134310074827E-3</v>
      </c>
      <c r="E25" s="22">
        <v>1.48</v>
      </c>
      <c r="F25" s="21">
        <v>4.1992968442378105E-2</v>
      </c>
      <c r="G25" s="22">
        <v>0.57869668546186581</v>
      </c>
      <c r="H25" s="21">
        <v>2.1716670972840767E-2</v>
      </c>
      <c r="I25" s="21">
        <v>5.2120998324380026E-3</v>
      </c>
      <c r="J25" s="22">
        <v>1.61</v>
      </c>
      <c r="K25" s="21">
        <v>9.7874783730122358E-2</v>
      </c>
      <c r="L25" s="22">
        <v>0.12056566661902189</v>
      </c>
      <c r="M25" s="22">
        <v>2.0637483848884725E-2</v>
      </c>
      <c r="N25" s="22">
        <v>4.4935832728443294E-3</v>
      </c>
      <c r="O25" s="22">
        <v>1.49</v>
      </c>
      <c r="P25" s="21">
        <v>0.29517812518388969</v>
      </c>
      <c r="Q25" s="22">
        <v>0.43813744862908283</v>
      </c>
      <c r="R25" s="21">
        <v>2.0301213240354065E-2</v>
      </c>
      <c r="S25" s="21">
        <v>3.4747144670766879E-3</v>
      </c>
      <c r="T25" s="22">
        <v>1.675</v>
      </c>
      <c r="U25" s="21">
        <v>1.7963626864653977E-5</v>
      </c>
      <c r="V25" s="22">
        <v>4.3802557113640138E-5</v>
      </c>
    </row>
    <row r="26" spans="1:22" x14ac:dyDescent="0.25">
      <c r="A26" s="3"/>
      <c r="B26" s="3" t="s">
        <v>2</v>
      </c>
      <c r="C26" s="22">
        <v>2.2707276278530471E-2</v>
      </c>
      <c r="D26" s="22">
        <v>5.0187593344901745E-3</v>
      </c>
      <c r="E26" s="22">
        <v>1.52</v>
      </c>
      <c r="F26" s="21"/>
      <c r="G26" s="22"/>
      <c r="H26" s="21">
        <v>2.1666337062009589E-2</v>
      </c>
      <c r="I26" s="21">
        <v>5.2209368284090122E-3</v>
      </c>
      <c r="J26" s="22">
        <v>1.39</v>
      </c>
      <c r="K26" s="21"/>
      <c r="L26" s="22"/>
      <c r="M26" s="22">
        <v>2.0713460073037072E-2</v>
      </c>
      <c r="N26" s="22">
        <v>4.4961657179723993E-3</v>
      </c>
      <c r="O26" s="22">
        <v>1.51</v>
      </c>
      <c r="P26" s="21"/>
      <c r="Q26" s="22"/>
      <c r="R26" s="21">
        <v>1.9676287117637088E-2</v>
      </c>
      <c r="S26" s="21">
        <v>3.2923506431665099E-3</v>
      </c>
      <c r="T26" s="22">
        <v>1.325</v>
      </c>
      <c r="U26" s="21"/>
      <c r="V26" s="22"/>
    </row>
    <row r="27" spans="1:22" x14ac:dyDescent="0.25">
      <c r="A27" s="1" t="s">
        <v>17</v>
      </c>
      <c r="B27" s="1" t="s">
        <v>3</v>
      </c>
      <c r="C27" s="21">
        <v>1.9279143055907472E-2</v>
      </c>
      <c r="D27" s="21">
        <v>5.6949093864044681E-3</v>
      </c>
      <c r="E27" s="21">
        <v>1.39</v>
      </c>
      <c r="F27" s="22">
        <v>0.37237279459829881</v>
      </c>
      <c r="G27" s="21">
        <v>0.18730368401542113</v>
      </c>
      <c r="H27" s="22">
        <v>1.8770955535895254E-2</v>
      </c>
      <c r="I27" s="22">
        <v>5.1840805503647509E-3</v>
      </c>
      <c r="J27" s="21">
        <v>1.47</v>
      </c>
      <c r="K27" s="22">
        <v>0.36438221250592734</v>
      </c>
      <c r="L27" s="21">
        <v>0.34526155184605667</v>
      </c>
      <c r="M27" s="21">
        <v>1.8051412597489113E-2</v>
      </c>
      <c r="N27" s="21">
        <v>4.7535608139312388E-3</v>
      </c>
      <c r="O27" s="21">
        <v>1.42</v>
      </c>
      <c r="P27" s="22">
        <v>2.5087263092065992E-2</v>
      </c>
      <c r="Q27" s="21">
        <v>4.8623387120456815E-2</v>
      </c>
      <c r="R27" s="22">
        <v>1.7689273588844544E-2</v>
      </c>
      <c r="S27" s="22">
        <v>4.0170645254033995E-3</v>
      </c>
      <c r="T27" s="21">
        <v>1.58</v>
      </c>
      <c r="U27" s="22">
        <v>0.70519500221830156</v>
      </c>
      <c r="V27" s="21">
        <v>0.45663613462916391</v>
      </c>
    </row>
    <row r="28" spans="1:22" x14ac:dyDescent="0.25">
      <c r="A28" s="3"/>
      <c r="B28" s="3" t="s">
        <v>2</v>
      </c>
      <c r="C28" s="21">
        <v>1.9714037348937175E-2</v>
      </c>
      <c r="D28" s="21">
        <v>5.0989226406301363E-3</v>
      </c>
      <c r="E28" s="21">
        <v>1.61</v>
      </c>
      <c r="F28" s="22"/>
      <c r="G28" s="21"/>
      <c r="H28" s="22">
        <v>1.9037796694793899E-2</v>
      </c>
      <c r="I28" s="22">
        <v>5.383382131103202E-3</v>
      </c>
      <c r="J28" s="21">
        <v>1.53</v>
      </c>
      <c r="K28" s="22"/>
      <c r="L28" s="21"/>
      <c r="M28" s="21">
        <v>1.8852832665779501E-2</v>
      </c>
      <c r="N28" s="21">
        <v>4.7211021214991732E-3</v>
      </c>
      <c r="O28" s="21">
        <v>1.58</v>
      </c>
      <c r="P28" s="22"/>
      <c r="Q28" s="21"/>
      <c r="R28" s="22">
        <v>1.7543215346963813E-2</v>
      </c>
      <c r="S28" s="22">
        <v>3.9739745268048054E-3</v>
      </c>
      <c r="T28" s="21">
        <v>1.42</v>
      </c>
      <c r="U28" s="22"/>
      <c r="V28" s="21"/>
    </row>
    <row r="29" spans="1:22" x14ac:dyDescent="0.25">
      <c r="A29" s="1" t="s">
        <v>18</v>
      </c>
      <c r="B29" s="1" t="s">
        <v>3</v>
      </c>
      <c r="C29" s="22">
        <v>1.9144607809891724E-4</v>
      </c>
      <c r="D29" s="22">
        <v>1.1660234918162478E-4</v>
      </c>
      <c r="E29" s="22">
        <v>1.4750000000000001</v>
      </c>
      <c r="F29" s="21">
        <v>0.69487234315256141</v>
      </c>
      <c r="G29" s="22">
        <v>0.77140434038796801</v>
      </c>
      <c r="H29" s="21">
        <v>8.50421273459792E-4</v>
      </c>
      <c r="I29" s="21">
        <v>3.5834563775309793E-4</v>
      </c>
      <c r="J29" s="22">
        <v>1.385</v>
      </c>
      <c r="K29" s="21">
        <v>6.2362645024949415E-3</v>
      </c>
      <c r="L29" s="22">
        <v>5.3805051967531605E-3</v>
      </c>
      <c r="M29" s="22">
        <v>2.0461021156107984E-3</v>
      </c>
      <c r="N29" s="22">
        <v>6.047161757952341E-4</v>
      </c>
      <c r="O29" s="22">
        <v>1.2749999999999999</v>
      </c>
      <c r="P29" s="21">
        <v>3.002715378044221E-7</v>
      </c>
      <c r="Q29" s="22">
        <v>7.9857523970100429E-7</v>
      </c>
      <c r="R29" s="21">
        <v>3.0976961904136506E-3</v>
      </c>
      <c r="S29" s="21">
        <v>7.3202004259918026E-4</v>
      </c>
      <c r="T29" s="22">
        <v>1.72</v>
      </c>
      <c r="U29" s="21">
        <v>8.6802478782059467E-9</v>
      </c>
      <c r="V29" s="22">
        <v>6.175541635966623E-8</v>
      </c>
    </row>
    <row r="30" spans="1:22" x14ac:dyDescent="0.25">
      <c r="A30" s="3"/>
      <c r="B30" s="3" t="s">
        <v>2</v>
      </c>
      <c r="C30" s="22">
        <v>1.9407857266942813E-4</v>
      </c>
      <c r="D30" s="22">
        <v>1.1308881787372931E-4</v>
      </c>
      <c r="E30" s="22">
        <v>1.5249999999999999</v>
      </c>
      <c r="F30" s="21"/>
      <c r="G30" s="22"/>
      <c r="H30" s="21">
        <v>9.0904721376034944E-4</v>
      </c>
      <c r="I30" s="21">
        <v>3.9345143067178731E-4</v>
      </c>
      <c r="J30" s="22">
        <v>1.615</v>
      </c>
      <c r="K30" s="21"/>
      <c r="L30" s="22"/>
      <c r="M30" s="22">
        <v>2.3208654190341404E-3</v>
      </c>
      <c r="N30" s="22">
        <v>7.9553300603372784E-4</v>
      </c>
      <c r="O30" s="22">
        <v>1.7250000000000001</v>
      </c>
      <c r="P30" s="21"/>
      <c r="Q30" s="22"/>
      <c r="R30" s="21">
        <v>2.5755390009894979E-3</v>
      </c>
      <c r="S30" s="21">
        <v>7.0141017129578796E-4</v>
      </c>
      <c r="T30" s="22">
        <v>1.28</v>
      </c>
      <c r="U30" s="21"/>
      <c r="V30" s="22"/>
    </row>
    <row r="31" spans="1:22" x14ac:dyDescent="0.25">
      <c r="A31" s="1" t="s">
        <v>19</v>
      </c>
      <c r="B31" s="1" t="s">
        <v>3</v>
      </c>
      <c r="C31" s="21">
        <v>2.3718334119756453E-4</v>
      </c>
      <c r="D31" s="21">
        <v>1.4812701667848722E-4</v>
      </c>
      <c r="E31" s="21">
        <v>1.51</v>
      </c>
      <c r="F31" s="22">
        <v>0.62409648319638278</v>
      </c>
      <c r="G31" s="21">
        <v>0.64622241307973027</v>
      </c>
      <c r="H31" s="22">
        <v>1.0393601885754517E-3</v>
      </c>
      <c r="I31" s="22">
        <v>4.6287500052535256E-4</v>
      </c>
      <c r="J31" s="21">
        <v>1.45</v>
      </c>
      <c r="K31" s="22">
        <v>0.21034976830100094</v>
      </c>
      <c r="L31" s="21">
        <v>5.9770486020194968E-2</v>
      </c>
      <c r="M31" s="21">
        <v>2.1837587627632302E-3</v>
      </c>
      <c r="N31" s="21">
        <v>6.0693463956823892E-4</v>
      </c>
      <c r="O31" s="21">
        <v>1.1950000000000001</v>
      </c>
      <c r="P31" s="22">
        <v>5.2231003327142868E-12</v>
      </c>
      <c r="Q31" s="21">
        <v>9.8517782169381411E-11</v>
      </c>
      <c r="R31" s="22">
        <v>3.1909064229294704E-3</v>
      </c>
      <c r="S31" s="22">
        <v>5.843604455505122E-4</v>
      </c>
      <c r="T31" s="21">
        <v>1.69</v>
      </c>
      <c r="U31" s="22">
        <v>2.1492649371129196E-5</v>
      </c>
      <c r="V31" s="21">
        <v>1.6329870415449541E-5</v>
      </c>
    </row>
    <row r="32" spans="1:22" x14ac:dyDescent="0.25">
      <c r="A32" s="3"/>
      <c r="B32" s="3" t="s">
        <v>2</v>
      </c>
      <c r="C32" s="21">
        <v>2.3286619287802383E-4</v>
      </c>
      <c r="D32" s="21">
        <v>1.3459960032137131E-4</v>
      </c>
      <c r="E32" s="21">
        <v>1.49</v>
      </c>
      <c r="F32" s="22"/>
      <c r="G32" s="21"/>
      <c r="H32" s="22">
        <v>1.0688478478232306E-3</v>
      </c>
      <c r="I32" s="22">
        <v>4.3577052682703852E-4</v>
      </c>
      <c r="J32" s="21">
        <v>1.55</v>
      </c>
      <c r="K32" s="22"/>
      <c r="L32" s="21"/>
      <c r="M32" s="21">
        <v>2.5118509351032157E-3</v>
      </c>
      <c r="N32" s="21">
        <v>7.0067564676035664E-4</v>
      </c>
      <c r="O32" s="21">
        <v>1.8049999999999999</v>
      </c>
      <c r="P32" s="22"/>
      <c r="Q32" s="21"/>
      <c r="R32" s="22">
        <v>2.8390081342532553E-3</v>
      </c>
      <c r="S32" s="22">
        <v>6.4990378302975319E-4</v>
      </c>
      <c r="T32" s="21">
        <v>1.31</v>
      </c>
      <c r="U32" s="22"/>
      <c r="V32" s="21"/>
    </row>
    <row r="33" spans="1:22" x14ac:dyDescent="0.25">
      <c r="A33" s="1" t="s">
        <v>20</v>
      </c>
      <c r="B33" s="1" t="s">
        <v>3</v>
      </c>
      <c r="C33" s="22">
        <v>4.4043466785959363E-3</v>
      </c>
      <c r="D33" s="22">
        <v>2.6934225900757639E-3</v>
      </c>
      <c r="E33" s="22">
        <v>1.6</v>
      </c>
      <c r="F33" s="21">
        <v>5.2801650293121789E-2</v>
      </c>
      <c r="G33" s="22">
        <v>6.8147335953051447E-2</v>
      </c>
      <c r="H33" s="21">
        <v>3.2050397999603512E-3</v>
      </c>
      <c r="I33" s="21">
        <v>1.5804591426085385E-3</v>
      </c>
      <c r="J33" s="22">
        <v>1.4750000000000001</v>
      </c>
      <c r="K33" s="21">
        <v>0.60521657421794017</v>
      </c>
      <c r="L33" s="22">
        <v>0.94380711438537068</v>
      </c>
      <c r="M33" s="22">
        <v>4.6095674717772997E-3</v>
      </c>
      <c r="N33" s="22">
        <v>1.3274878124246606E-3</v>
      </c>
      <c r="O33" s="22">
        <v>1.4450000000000001</v>
      </c>
      <c r="P33" s="21">
        <v>0.24649787054061484</v>
      </c>
      <c r="Q33" s="22">
        <v>0.12987826969489571</v>
      </c>
      <c r="R33" s="21">
        <v>5.355883570311297E-3</v>
      </c>
      <c r="S33" s="21">
        <v>1.389356057170354E-3</v>
      </c>
      <c r="T33" s="22">
        <v>1.635</v>
      </c>
      <c r="U33" s="21">
        <v>9.3537590789693039E-4</v>
      </c>
      <c r="V33" s="22">
        <v>6.1967720020858692E-4</v>
      </c>
    </row>
    <row r="34" spans="1:22" x14ac:dyDescent="0.25">
      <c r="A34" s="3"/>
      <c r="B34" s="3" t="s">
        <v>2</v>
      </c>
      <c r="C34" s="22">
        <v>3.7038921092593219E-3</v>
      </c>
      <c r="D34" s="22">
        <v>2.6734518807604388E-3</v>
      </c>
      <c r="E34" s="22">
        <v>1.4</v>
      </c>
      <c r="F34" s="21"/>
      <c r="G34" s="22"/>
      <c r="H34" s="21">
        <v>3.3064455130353866E-3</v>
      </c>
      <c r="I34" s="21">
        <v>1.6025608726762789E-3</v>
      </c>
      <c r="J34" s="22">
        <v>1.5249999999999999</v>
      </c>
      <c r="K34" s="21"/>
      <c r="L34" s="22"/>
      <c r="M34" s="22">
        <v>4.7211295975241509E-3</v>
      </c>
      <c r="N34" s="22">
        <v>1.5412843865040863E-3</v>
      </c>
      <c r="O34" s="22">
        <v>1.5549999999999999</v>
      </c>
      <c r="P34" s="21"/>
      <c r="Q34" s="22"/>
      <c r="R34" s="21">
        <v>5.0030030666792088E-3</v>
      </c>
      <c r="S34" s="21">
        <v>1.5300753765320513E-3</v>
      </c>
      <c r="T34" s="22">
        <v>1.365</v>
      </c>
      <c r="U34" s="21"/>
      <c r="V34" s="22"/>
    </row>
    <row r="35" spans="1:22" x14ac:dyDescent="0.25">
      <c r="A35" s="1" t="s">
        <v>31</v>
      </c>
      <c r="B35" s="1" t="s">
        <v>3</v>
      </c>
      <c r="C35" s="21">
        <v>2.2491184581642849E-2</v>
      </c>
      <c r="D35" s="21">
        <v>6.3515387258833642E-2</v>
      </c>
      <c r="E35" s="21">
        <v>1.7649999999999999</v>
      </c>
      <c r="F35" s="22">
        <v>7.1853667212581646E-4</v>
      </c>
      <c r="G35" s="21">
        <v>7.3221125613212941E-11</v>
      </c>
      <c r="H35" s="13"/>
      <c r="I35" s="14"/>
      <c r="J35" s="14"/>
      <c r="K35" s="14"/>
      <c r="L35" s="15"/>
      <c r="M35" s="13"/>
      <c r="N35" s="14"/>
      <c r="O35" s="14"/>
      <c r="P35" s="14"/>
      <c r="Q35" s="14"/>
      <c r="R35" s="17"/>
      <c r="S35" s="18"/>
      <c r="T35" s="18"/>
      <c r="U35" s="18"/>
      <c r="V35" s="10"/>
    </row>
    <row r="36" spans="1:22" x14ac:dyDescent="0.25">
      <c r="A36" s="3"/>
      <c r="B36" s="3" t="s">
        <v>2</v>
      </c>
      <c r="C36" s="21">
        <v>2.1419210403831701E-4</v>
      </c>
      <c r="D36" s="21">
        <v>3.6353019355602346E-4</v>
      </c>
      <c r="E36" s="21">
        <v>1.2350000000000001</v>
      </c>
      <c r="F36" s="22"/>
      <c r="G36" s="21"/>
      <c r="H36" s="16"/>
      <c r="I36" s="11"/>
      <c r="J36" s="11"/>
      <c r="K36" s="11"/>
      <c r="L36" s="12"/>
      <c r="M36" s="16"/>
      <c r="N36" s="11"/>
      <c r="O36" s="11"/>
      <c r="P36" s="11"/>
      <c r="Q36" s="11"/>
      <c r="R36" s="17"/>
      <c r="S36" s="18"/>
      <c r="T36" s="18"/>
      <c r="U36" s="18"/>
      <c r="V36" s="10"/>
    </row>
    <row r="37" spans="1:22" x14ac:dyDescent="0.25">
      <c r="A37" s="1" t="s">
        <v>32</v>
      </c>
      <c r="B37" s="1" t="s">
        <v>3</v>
      </c>
      <c r="C37" s="22">
        <v>0.17894042409451913</v>
      </c>
      <c r="D37" s="22">
        <v>1.5148153575748744</v>
      </c>
      <c r="E37" s="22">
        <v>1.74</v>
      </c>
      <c r="F37" s="21">
        <v>0.25080066334042234</v>
      </c>
      <c r="G37" s="22">
        <v>1.4508648204241214E-9</v>
      </c>
      <c r="H37" s="17"/>
      <c r="I37" s="18"/>
      <c r="J37" s="18"/>
      <c r="K37" s="18"/>
      <c r="L37" s="10"/>
      <c r="M37" s="17"/>
      <c r="N37" s="18"/>
      <c r="O37" s="18"/>
      <c r="P37" s="18"/>
      <c r="Q37" s="18"/>
      <c r="R37" s="17"/>
      <c r="S37" s="18"/>
      <c r="T37" s="18"/>
      <c r="U37" s="18"/>
      <c r="V37" s="10"/>
    </row>
    <row r="38" spans="1:22" x14ac:dyDescent="0.25">
      <c r="A38" s="3"/>
      <c r="B38" s="3" t="s">
        <v>2</v>
      </c>
      <c r="C38" s="22">
        <v>3.07967028997834E-3</v>
      </c>
      <c r="D38" s="22">
        <v>2.5889552733171891E-2</v>
      </c>
      <c r="E38" s="22">
        <v>1.26</v>
      </c>
      <c r="F38" s="21"/>
      <c r="G38" s="22"/>
      <c r="H38" s="16"/>
      <c r="I38" s="11"/>
      <c r="J38" s="11"/>
      <c r="K38" s="11"/>
      <c r="L38" s="12"/>
      <c r="M38" s="16"/>
      <c r="N38" s="11"/>
      <c r="O38" s="11"/>
      <c r="P38" s="11"/>
      <c r="Q38" s="11"/>
      <c r="R38" s="17"/>
      <c r="S38" s="18"/>
      <c r="T38" s="18"/>
      <c r="U38" s="18"/>
      <c r="V38" s="10"/>
    </row>
    <row r="39" spans="1:22" x14ac:dyDescent="0.25">
      <c r="A39" s="1" t="s">
        <v>34</v>
      </c>
      <c r="B39" s="1" t="s">
        <v>3</v>
      </c>
      <c r="C39" s="21">
        <v>5.0112084479043064</v>
      </c>
      <c r="D39" s="21">
        <v>7.7799636967348116</v>
      </c>
      <c r="E39" s="21">
        <v>1.66</v>
      </c>
      <c r="F39" s="22">
        <v>0.33683091302838802</v>
      </c>
      <c r="G39" s="21">
        <v>6.6364385692337293E-3</v>
      </c>
      <c r="H39" s="17"/>
      <c r="I39" s="18"/>
      <c r="J39" s="18"/>
      <c r="K39" s="18"/>
      <c r="L39" s="10"/>
      <c r="M39" s="17"/>
      <c r="N39" s="18"/>
      <c r="O39" s="18"/>
      <c r="P39" s="18"/>
      <c r="Q39" s="18"/>
      <c r="R39" s="17"/>
      <c r="S39" s="18"/>
      <c r="T39" s="18"/>
      <c r="U39" s="18"/>
      <c r="V39" s="10"/>
    </row>
    <row r="40" spans="1:22" x14ac:dyDescent="0.25">
      <c r="A40" s="3"/>
      <c r="B40" s="3" t="s">
        <v>2</v>
      </c>
      <c r="C40" s="21">
        <v>4.8917764175470184</v>
      </c>
      <c r="D40" s="21">
        <v>7.7457720658349185</v>
      </c>
      <c r="E40" s="21">
        <v>1.34</v>
      </c>
      <c r="F40" s="22"/>
      <c r="G40" s="21"/>
      <c r="H40" s="16"/>
      <c r="I40" s="11"/>
      <c r="J40" s="11"/>
      <c r="K40" s="11"/>
      <c r="L40" s="12"/>
      <c r="M40" s="16"/>
      <c r="N40" s="11"/>
      <c r="O40" s="11"/>
      <c r="P40" s="11"/>
      <c r="Q40" s="11"/>
      <c r="R40" s="17"/>
      <c r="S40" s="18"/>
      <c r="T40" s="18"/>
      <c r="U40" s="18"/>
      <c r="V40" s="10"/>
    </row>
    <row r="41" spans="1:22" x14ac:dyDescent="0.25">
      <c r="A41" s="1" t="s">
        <v>33</v>
      </c>
      <c r="B41" s="1" t="s">
        <v>3</v>
      </c>
      <c r="C41" s="22">
        <v>9.5141641582360534E-2</v>
      </c>
      <c r="D41" s="22">
        <v>0.18291037775763716</v>
      </c>
      <c r="E41" s="22">
        <v>1.7649999999999999</v>
      </c>
      <c r="F41" s="21">
        <v>6.4517027025232706E-4</v>
      </c>
      <c r="G41" s="22">
        <v>4.9195726013589742E-10</v>
      </c>
      <c r="H41" s="17"/>
      <c r="I41" s="18"/>
      <c r="J41" s="18"/>
      <c r="K41" s="18"/>
      <c r="L41" s="10"/>
      <c r="M41" s="17"/>
      <c r="N41" s="18"/>
      <c r="O41" s="18"/>
      <c r="P41" s="18"/>
      <c r="Q41" s="18"/>
      <c r="R41" s="17"/>
      <c r="S41" s="18"/>
      <c r="T41" s="18"/>
      <c r="U41" s="18"/>
      <c r="V41" s="10"/>
    </row>
    <row r="42" spans="1:22" x14ac:dyDescent="0.25">
      <c r="A42" s="3"/>
      <c r="B42" s="3" t="s">
        <v>2</v>
      </c>
      <c r="C42" s="22">
        <v>2.8057373025361536E-2</v>
      </c>
      <c r="D42" s="22">
        <v>0.11783417487678688</v>
      </c>
      <c r="E42" s="22">
        <v>1.2350000000000001</v>
      </c>
      <c r="F42" s="21"/>
      <c r="G42" s="22"/>
      <c r="H42" s="16"/>
      <c r="I42" s="11"/>
      <c r="J42" s="11"/>
      <c r="K42" s="11"/>
      <c r="L42" s="12"/>
      <c r="M42" s="16"/>
      <c r="N42" s="11"/>
      <c r="O42" s="11"/>
      <c r="P42" s="11"/>
      <c r="Q42" s="11"/>
      <c r="R42" s="17"/>
      <c r="S42" s="18"/>
      <c r="T42" s="18"/>
      <c r="U42" s="18"/>
      <c r="V42" s="10"/>
    </row>
    <row r="43" spans="1:22" x14ac:dyDescent="0.25">
      <c r="A43" s="1" t="s">
        <v>35</v>
      </c>
      <c r="B43" s="1" t="s">
        <v>3</v>
      </c>
      <c r="C43" s="21">
        <v>17.324165071655347</v>
      </c>
      <c r="D43" s="21">
        <v>7.5522928662300686</v>
      </c>
      <c r="E43" s="21">
        <v>1.5049999999999999</v>
      </c>
      <c r="F43" s="22">
        <v>0.44808599362001977</v>
      </c>
      <c r="G43" s="21">
        <v>0.50694847328777204</v>
      </c>
      <c r="H43" s="17"/>
      <c r="I43" s="18"/>
      <c r="J43" s="18"/>
      <c r="K43" s="18"/>
      <c r="L43" s="10"/>
      <c r="M43" s="17"/>
      <c r="N43" s="18"/>
      <c r="O43" s="18"/>
      <c r="P43" s="18"/>
      <c r="Q43" s="18"/>
      <c r="R43" s="17"/>
      <c r="S43" s="18"/>
      <c r="T43" s="18"/>
      <c r="U43" s="18"/>
      <c r="V43" s="10"/>
    </row>
    <row r="44" spans="1:22" x14ac:dyDescent="0.25">
      <c r="A44" s="3"/>
      <c r="B44" s="3" t="s">
        <v>2</v>
      </c>
      <c r="C44" s="21">
        <v>17.739232568964528</v>
      </c>
      <c r="D44" s="21">
        <v>7.7543251777888571</v>
      </c>
      <c r="E44" s="21">
        <v>1.4950000000000001</v>
      </c>
      <c r="F44" s="22"/>
      <c r="G44" s="21"/>
      <c r="H44" s="16"/>
      <c r="I44" s="11"/>
      <c r="J44" s="11"/>
      <c r="K44" s="11"/>
      <c r="L44" s="12"/>
      <c r="M44" s="16"/>
      <c r="N44" s="11"/>
      <c r="O44" s="11"/>
      <c r="P44" s="11"/>
      <c r="Q44" s="11"/>
      <c r="R44" s="17"/>
      <c r="S44" s="18"/>
      <c r="T44" s="18"/>
      <c r="U44" s="18"/>
      <c r="V44" s="10"/>
    </row>
    <row r="45" spans="1:22" x14ac:dyDescent="0.25">
      <c r="A45" s="1" t="s">
        <v>36</v>
      </c>
      <c r="B45" s="1" t="s">
        <v>3</v>
      </c>
      <c r="C45" s="22">
        <v>1.9934982396847548E-2</v>
      </c>
      <c r="D45" s="22">
        <v>5.991256007498573E-2</v>
      </c>
      <c r="E45" s="22">
        <v>1.69</v>
      </c>
      <c r="F45" s="21">
        <v>2.3463038773984262E-3</v>
      </c>
      <c r="G45" s="22">
        <v>1.7290399044554578E-8</v>
      </c>
      <c r="H45" s="17"/>
      <c r="I45" s="18"/>
      <c r="J45" s="18"/>
      <c r="K45" s="18"/>
      <c r="L45" s="10"/>
      <c r="M45" s="17"/>
      <c r="N45" s="18"/>
      <c r="O45" s="18"/>
      <c r="P45" s="18"/>
      <c r="Q45" s="18"/>
      <c r="R45" s="17"/>
      <c r="S45" s="18"/>
      <c r="T45" s="18"/>
      <c r="U45" s="18"/>
      <c r="V45" s="10"/>
    </row>
    <row r="46" spans="1:22" x14ac:dyDescent="0.25">
      <c r="A46" s="3"/>
      <c r="B46" s="3" t="s">
        <v>2</v>
      </c>
      <c r="C46" s="22">
        <v>1.1134790500930917E-3</v>
      </c>
      <c r="D46" s="22">
        <v>2.6164332310349148E-3</v>
      </c>
      <c r="E46" s="22">
        <v>1.31</v>
      </c>
      <c r="F46" s="21"/>
      <c r="G46" s="22"/>
      <c r="H46" s="16"/>
      <c r="I46" s="11"/>
      <c r="J46" s="11"/>
      <c r="K46" s="11"/>
      <c r="L46" s="12"/>
      <c r="M46" s="16"/>
      <c r="N46" s="11"/>
      <c r="O46" s="11"/>
      <c r="P46" s="11"/>
      <c r="Q46" s="11"/>
      <c r="R46" s="16"/>
      <c r="S46" s="11"/>
      <c r="T46" s="11"/>
      <c r="U46" s="11"/>
      <c r="V46" s="12"/>
    </row>
    <row r="51" spans="1:22" x14ac:dyDescent="0.25">
      <c r="A51">
        <v>1</v>
      </c>
      <c r="B51">
        <v>2</v>
      </c>
      <c r="C51">
        <v>3</v>
      </c>
      <c r="D51">
        <v>4</v>
      </c>
      <c r="E51">
        <v>5</v>
      </c>
      <c r="F51">
        <v>6</v>
      </c>
      <c r="G51">
        <v>7</v>
      </c>
      <c r="H51">
        <v>8</v>
      </c>
      <c r="I51">
        <v>9</v>
      </c>
      <c r="J51">
        <v>10</v>
      </c>
      <c r="K51">
        <v>11</v>
      </c>
      <c r="L51">
        <v>12</v>
      </c>
      <c r="M51">
        <v>13</v>
      </c>
      <c r="N51">
        <v>14</v>
      </c>
      <c r="O51">
        <v>15</v>
      </c>
      <c r="P51">
        <v>16</v>
      </c>
      <c r="Q51">
        <v>17</v>
      </c>
      <c r="R51">
        <v>18</v>
      </c>
      <c r="S51">
        <v>19</v>
      </c>
      <c r="T51">
        <v>20</v>
      </c>
      <c r="U51">
        <v>21</v>
      </c>
      <c r="V51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9D0CC-C428-4563-9220-ED9C6DD107BE}">
  <dimension ref="A1:V51"/>
  <sheetViews>
    <sheetView zoomScaleNormal="100" workbookViewId="0">
      <selection activeCell="AA13" sqref="AA12:AA13"/>
    </sheetView>
  </sheetViews>
  <sheetFormatPr defaultRowHeight="15" x14ac:dyDescent="0.25"/>
  <sheetData>
    <row r="1" spans="1:22" x14ac:dyDescent="0.25">
      <c r="A1" s="6" t="s">
        <v>30</v>
      </c>
      <c r="B1" s="6" t="s">
        <v>23</v>
      </c>
      <c r="C1" s="1" t="s">
        <v>24</v>
      </c>
      <c r="D1" s="5"/>
      <c r="E1" s="5"/>
      <c r="F1" s="5"/>
      <c r="G1" s="5"/>
      <c r="H1" s="1" t="s">
        <v>25</v>
      </c>
      <c r="I1" s="5"/>
      <c r="J1" s="5"/>
      <c r="K1" s="5"/>
      <c r="L1" s="5"/>
      <c r="M1" s="1" t="s">
        <v>26</v>
      </c>
      <c r="N1" s="5"/>
      <c r="O1" s="5"/>
      <c r="P1" s="5"/>
      <c r="Q1" s="5"/>
      <c r="R1" s="7" t="s">
        <v>27</v>
      </c>
      <c r="S1" s="19"/>
      <c r="T1" s="19"/>
      <c r="U1" s="19"/>
      <c r="V1" s="9"/>
    </row>
    <row r="2" spans="1:22" x14ac:dyDescent="0.25">
      <c r="A2" s="6" t="s">
        <v>21</v>
      </c>
      <c r="B2" s="1" t="s">
        <v>22</v>
      </c>
      <c r="C2" s="1" t="s">
        <v>4</v>
      </c>
      <c r="D2" s="5" t="s">
        <v>5</v>
      </c>
      <c r="E2" s="5" t="s">
        <v>28</v>
      </c>
      <c r="F2" s="2" t="s">
        <v>37</v>
      </c>
      <c r="G2" s="2" t="s">
        <v>38</v>
      </c>
      <c r="H2" s="5" t="s">
        <v>4</v>
      </c>
      <c r="I2" s="5" t="s">
        <v>5</v>
      </c>
      <c r="J2" s="5" t="s">
        <v>28</v>
      </c>
      <c r="K2" s="2" t="s">
        <v>37</v>
      </c>
      <c r="L2" s="2" t="s">
        <v>38</v>
      </c>
      <c r="M2" s="1" t="s">
        <v>4</v>
      </c>
      <c r="N2" s="5" t="s">
        <v>5</v>
      </c>
      <c r="O2" s="5" t="s">
        <v>28</v>
      </c>
      <c r="P2" s="2" t="s">
        <v>37</v>
      </c>
      <c r="Q2" s="5" t="s">
        <v>38</v>
      </c>
      <c r="R2" s="7" t="s">
        <v>4</v>
      </c>
      <c r="S2" s="19" t="s">
        <v>5</v>
      </c>
      <c r="T2" s="19" t="s">
        <v>28</v>
      </c>
      <c r="U2" s="19" t="s">
        <v>37</v>
      </c>
      <c r="V2" s="9" t="s">
        <v>38</v>
      </c>
    </row>
    <row r="3" spans="1:22" x14ac:dyDescent="0.25">
      <c r="A3" s="1" t="s">
        <v>0</v>
      </c>
      <c r="B3" s="1" t="s">
        <v>3</v>
      </c>
      <c r="C3" s="21">
        <v>0.15402497850252511</v>
      </c>
      <c r="D3" s="21">
        <v>7.8089530715592978E-2</v>
      </c>
      <c r="E3" s="21">
        <v>1.5449999999999999</v>
      </c>
      <c r="F3" s="22">
        <v>1.1043037405655218E-2</v>
      </c>
      <c r="G3" s="21">
        <v>2.6927854758009705E-2</v>
      </c>
      <c r="H3" s="22">
        <v>6.2882555295377798E-2</v>
      </c>
      <c r="I3" s="22">
        <v>3.0769519645887731E-2</v>
      </c>
      <c r="J3" s="21">
        <v>1.615</v>
      </c>
      <c r="K3" s="22">
        <v>6.8129600320925618E-2</v>
      </c>
      <c r="L3" s="21">
        <v>2.8248157795794332E-3</v>
      </c>
      <c r="M3" s="21">
        <v>3.281710213582905E-2</v>
      </c>
      <c r="N3" s="21">
        <v>1.7494100075589086E-2</v>
      </c>
      <c r="O3" s="21">
        <v>1.54</v>
      </c>
      <c r="P3" s="22">
        <v>5.4140043488536259E-2</v>
      </c>
      <c r="Q3" s="21">
        <v>0.36311954018837089</v>
      </c>
      <c r="R3" s="22">
        <v>1.868848240455533E-2</v>
      </c>
      <c r="S3" s="22">
        <v>1.1104280497198516E-2</v>
      </c>
      <c r="T3" s="21">
        <v>1.51</v>
      </c>
      <c r="U3" s="22">
        <v>0.74831516785903618</v>
      </c>
      <c r="V3" s="21">
        <v>0.6786411279543817</v>
      </c>
    </row>
    <row r="4" spans="1:22" x14ac:dyDescent="0.25">
      <c r="A4" s="4"/>
      <c r="B4" s="4" t="s">
        <v>2</v>
      </c>
      <c r="C4" s="21">
        <v>0.15387034222317103</v>
      </c>
      <c r="D4" s="21">
        <v>7.8218529025358488E-2</v>
      </c>
      <c r="E4" s="21">
        <v>1.4550000000000001</v>
      </c>
      <c r="F4" s="22"/>
      <c r="G4" s="21"/>
      <c r="H4" s="22">
        <v>6.2770407987901497E-2</v>
      </c>
      <c r="I4" s="22">
        <v>3.0726187142995538E-2</v>
      </c>
      <c r="J4" s="21">
        <v>1.385</v>
      </c>
      <c r="K4" s="22"/>
      <c r="L4" s="21"/>
      <c r="M4" s="21">
        <v>3.2450711402136262E-2</v>
      </c>
      <c r="N4" s="21">
        <v>1.7724539228590866E-2</v>
      </c>
      <c r="O4" s="21">
        <v>1.46</v>
      </c>
      <c r="P4" s="22"/>
      <c r="Q4" s="21"/>
      <c r="R4" s="22">
        <v>1.8734865099381433E-2</v>
      </c>
      <c r="S4" s="22">
        <v>1.0992956255977427E-2</v>
      </c>
      <c r="T4" s="21">
        <v>1.49</v>
      </c>
      <c r="U4" s="22"/>
      <c r="V4" s="21"/>
    </row>
    <row r="5" spans="1:22" x14ac:dyDescent="0.25">
      <c r="A5" s="1" t="s">
        <v>1</v>
      </c>
      <c r="B5" s="1" t="s">
        <v>3</v>
      </c>
      <c r="C5" s="22">
        <v>0.19882223485969205</v>
      </c>
      <c r="D5" s="22">
        <v>0.11306073946766369</v>
      </c>
      <c r="E5" s="22">
        <v>1.665</v>
      </c>
      <c r="F5" s="21">
        <v>6.5504508288745317E-3</v>
      </c>
      <c r="G5" s="22">
        <v>6.7163059409005734E-6</v>
      </c>
      <c r="H5" s="21">
        <v>9.4336569137144513E-2</v>
      </c>
      <c r="I5" s="21">
        <v>5.3039377717926009E-2</v>
      </c>
      <c r="J5" s="22">
        <v>1.5449999999999999</v>
      </c>
      <c r="K5" s="21">
        <v>0.17517052095184979</v>
      </c>
      <c r="L5" s="22">
        <v>0.29670215793117788</v>
      </c>
      <c r="M5" s="22">
        <v>5.4115477309737647E-2</v>
      </c>
      <c r="N5" s="22">
        <v>3.45707124390583E-2</v>
      </c>
      <c r="O5" s="22">
        <v>1.5049999999999999</v>
      </c>
      <c r="P5" s="21">
        <v>0.32548269971777699</v>
      </c>
      <c r="Q5" s="22">
        <v>0.80580591634045151</v>
      </c>
      <c r="R5" s="21">
        <v>3.1061974192092164E-2</v>
      </c>
      <c r="S5" s="21">
        <v>2.3366452889420374E-2</v>
      </c>
      <c r="T5" s="22">
        <v>1.42</v>
      </c>
      <c r="U5" s="21">
        <v>0.10508922872951543</v>
      </c>
      <c r="V5" s="22">
        <v>6.8147335953051447E-2</v>
      </c>
    </row>
    <row r="6" spans="1:22" x14ac:dyDescent="0.25">
      <c r="A6" s="3"/>
      <c r="B6" s="3" t="s">
        <v>2</v>
      </c>
      <c r="C6" s="22">
        <v>0.1985933375667025</v>
      </c>
      <c r="D6" s="22">
        <v>0.11318694483398509</v>
      </c>
      <c r="E6" s="22">
        <v>1.335</v>
      </c>
      <c r="F6" s="21"/>
      <c r="G6" s="22"/>
      <c r="H6" s="21">
        <v>9.4232939294293272E-2</v>
      </c>
      <c r="I6" s="21">
        <v>5.3094267660329757E-2</v>
      </c>
      <c r="J6" s="22">
        <v>1.4550000000000001</v>
      </c>
      <c r="K6" s="21"/>
      <c r="L6" s="22"/>
      <c r="M6" s="22">
        <v>5.3952308024088132E-2</v>
      </c>
      <c r="N6" s="22">
        <v>3.4735103882130518E-2</v>
      </c>
      <c r="O6" s="22">
        <v>1.4950000000000001</v>
      </c>
      <c r="P6" s="21"/>
      <c r="Q6" s="22"/>
      <c r="R6" s="21">
        <v>3.1270615867690962E-2</v>
      </c>
      <c r="S6" s="21">
        <v>2.3619613655221378E-2</v>
      </c>
      <c r="T6" s="22">
        <v>1.58</v>
      </c>
      <c r="U6" s="21"/>
      <c r="V6" s="22"/>
    </row>
    <row r="7" spans="1:22" x14ac:dyDescent="0.25">
      <c r="A7" s="1" t="s">
        <v>7</v>
      </c>
      <c r="B7" s="1" t="s">
        <v>3</v>
      </c>
      <c r="C7" s="21">
        <v>0.19963239518079562</v>
      </c>
      <c r="D7" s="21">
        <v>0.11296062492585786</v>
      </c>
      <c r="E7" s="21">
        <v>1.595</v>
      </c>
      <c r="F7" s="22">
        <v>6.3424369381786527E-2</v>
      </c>
      <c r="G7" s="21">
        <v>1.0311708958827997E-3</v>
      </c>
      <c r="H7" s="22">
        <v>9.4624763677738977E-2</v>
      </c>
      <c r="I7" s="22">
        <v>5.3194823454269582E-2</v>
      </c>
      <c r="J7" s="21">
        <v>1.645</v>
      </c>
      <c r="K7" s="22">
        <v>2.8542852111192014E-3</v>
      </c>
      <c r="L7" s="21">
        <v>2.356385648041521E-3</v>
      </c>
      <c r="M7" s="21">
        <v>5.4843492623916232E-2</v>
      </c>
      <c r="N7" s="21">
        <v>3.4604916468026443E-2</v>
      </c>
      <c r="O7" s="21">
        <v>1.61</v>
      </c>
      <c r="P7" s="22">
        <v>0.1615382108093685</v>
      </c>
      <c r="Q7" s="21">
        <v>3.1774667942662642E-2</v>
      </c>
      <c r="R7" s="22">
        <v>3.2719937075801203E-2</v>
      </c>
      <c r="S7" s="22">
        <v>2.470521729233233E-2</v>
      </c>
      <c r="T7" s="21">
        <v>1.54</v>
      </c>
      <c r="U7" s="22">
        <v>9.0995355138586004E-3</v>
      </c>
      <c r="V7" s="21">
        <v>0.13429168671105807</v>
      </c>
    </row>
    <row r="8" spans="1:22" x14ac:dyDescent="0.25">
      <c r="A8" s="3"/>
      <c r="B8" s="3" t="s">
        <v>2</v>
      </c>
      <c r="C8" s="21">
        <v>0.19894765984472443</v>
      </c>
      <c r="D8" s="21">
        <v>0.11339321205526302</v>
      </c>
      <c r="E8" s="21">
        <v>1.405</v>
      </c>
      <c r="F8" s="22"/>
      <c r="G8" s="21"/>
      <c r="H8" s="22">
        <v>9.4421983734627374E-2</v>
      </c>
      <c r="I8" s="22">
        <v>5.3164265448676119E-2</v>
      </c>
      <c r="J8" s="21">
        <v>1.355</v>
      </c>
      <c r="K8" s="22"/>
      <c r="L8" s="21"/>
      <c r="M8" s="21">
        <v>5.4132490009187462E-2</v>
      </c>
      <c r="N8" s="21">
        <v>3.4850929401189591E-2</v>
      </c>
      <c r="O8" s="21">
        <v>1.39</v>
      </c>
      <c r="P8" s="22"/>
      <c r="Q8" s="21"/>
      <c r="R8" s="22">
        <v>3.1372181471671895E-2</v>
      </c>
      <c r="S8" s="22">
        <v>2.3490598193915746E-2</v>
      </c>
      <c r="T8" s="21">
        <v>1.46</v>
      </c>
      <c r="U8" s="22"/>
      <c r="V8" s="21"/>
    </row>
    <row r="9" spans="1:22" x14ac:dyDescent="0.25">
      <c r="A9" s="1" t="s">
        <v>8</v>
      </c>
      <c r="B9" s="1" t="s">
        <v>3</v>
      </c>
      <c r="C9" s="22">
        <v>0.19891004070342674</v>
      </c>
      <c r="D9" s="22">
        <v>0.11297248148343531</v>
      </c>
      <c r="E9" s="22">
        <v>1.68</v>
      </c>
      <c r="F9" s="21">
        <v>0.16507936294568143</v>
      </c>
      <c r="G9" s="22">
        <v>4.7692288158845201E-6</v>
      </c>
      <c r="H9" s="21">
        <v>9.4249432167719527E-2</v>
      </c>
      <c r="I9" s="21">
        <v>5.3043779500835143E-2</v>
      </c>
      <c r="J9" s="22">
        <v>1.52</v>
      </c>
      <c r="K9" s="21">
        <v>0.64280507315977109</v>
      </c>
      <c r="L9" s="22">
        <v>0.75567260576137263</v>
      </c>
      <c r="M9" s="22">
        <v>5.3898031659095659E-2</v>
      </c>
      <c r="N9" s="22">
        <v>3.4760315405032667E-2</v>
      </c>
      <c r="O9" s="22">
        <v>1.43</v>
      </c>
      <c r="P9" s="21">
        <v>0.48245660053220196</v>
      </c>
      <c r="Q9" s="22">
        <v>0.13790520286374211</v>
      </c>
      <c r="R9" s="21">
        <v>3.1156471172400713E-2</v>
      </c>
      <c r="S9" s="21">
        <v>2.3656815507170473E-2</v>
      </c>
      <c r="T9" s="22">
        <v>1.425</v>
      </c>
      <c r="U9" s="21">
        <v>0.93264858022054842</v>
      </c>
      <c r="V9" s="22">
        <v>0.23350461407689221</v>
      </c>
    </row>
    <row r="10" spans="1:22" x14ac:dyDescent="0.25">
      <c r="A10" s="3"/>
      <c r="B10" s="3" t="s">
        <v>2</v>
      </c>
      <c r="C10" s="22">
        <v>0.21759934087478019</v>
      </c>
      <c r="D10" s="22">
        <v>0.15461691548294212</v>
      </c>
      <c r="E10" s="22">
        <v>1.32</v>
      </c>
      <c r="F10" s="21"/>
      <c r="G10" s="22"/>
      <c r="H10" s="21">
        <v>9.4270752284905848E-2</v>
      </c>
      <c r="I10" s="21">
        <v>5.307546055795033E-2</v>
      </c>
      <c r="J10" s="22">
        <v>1.48</v>
      </c>
      <c r="K10" s="21"/>
      <c r="L10" s="22"/>
      <c r="M10" s="22">
        <v>5.3986343083232968E-2</v>
      </c>
      <c r="N10" s="22">
        <v>3.4743894660894142E-2</v>
      </c>
      <c r="O10" s="22">
        <v>1.57</v>
      </c>
      <c r="P10" s="21"/>
      <c r="Q10" s="22"/>
      <c r="R10" s="21">
        <v>3.1176750754913361E-2</v>
      </c>
      <c r="S10" s="21">
        <v>2.3364042861048154E-2</v>
      </c>
      <c r="T10" s="22">
        <v>1.575</v>
      </c>
      <c r="U10" s="21"/>
      <c r="V10" s="22"/>
    </row>
    <row r="11" spans="1:22" x14ac:dyDescent="0.25">
      <c r="A11" s="1" t="s">
        <v>9</v>
      </c>
      <c r="B11" s="1" t="s">
        <v>3</v>
      </c>
      <c r="C11" s="21">
        <v>0.19888551233505436</v>
      </c>
      <c r="D11" s="21">
        <v>0.11306078051602717</v>
      </c>
      <c r="E11" s="21">
        <v>1.67</v>
      </c>
      <c r="F11" s="22">
        <v>1.4324449253041102E-3</v>
      </c>
      <c r="G11" s="21">
        <v>3.5421933522719482E-6</v>
      </c>
      <c r="H11" s="22">
        <v>0.19121935621484545</v>
      </c>
      <c r="I11" s="22">
        <v>9.39664576106847E-2</v>
      </c>
      <c r="J11" s="21">
        <v>1.5</v>
      </c>
      <c r="K11" s="22">
        <v>0.39744417521999953</v>
      </c>
      <c r="L11" s="21">
        <v>0.9492815576440049</v>
      </c>
      <c r="M11" s="21">
        <v>0.17033524840726919</v>
      </c>
      <c r="N11" s="21">
        <v>9.1447968158496207E-2</v>
      </c>
      <c r="O11" s="21">
        <v>1.44</v>
      </c>
      <c r="P11" s="22">
        <v>0.71196929041342583</v>
      </c>
      <c r="Q11" s="21">
        <v>0.12056566661902189</v>
      </c>
      <c r="R11" s="22">
        <v>0.14116857678021111</v>
      </c>
      <c r="S11" s="22">
        <v>9.2018147005585652E-2</v>
      </c>
      <c r="T11" s="21">
        <v>1.48</v>
      </c>
      <c r="U11" s="22">
        <v>0.314254931189963</v>
      </c>
      <c r="V11" s="21">
        <v>0.45248778628402214</v>
      </c>
    </row>
    <row r="12" spans="1:22" x14ac:dyDescent="0.25">
      <c r="A12" s="3"/>
      <c r="B12" s="3" t="s">
        <v>2</v>
      </c>
      <c r="C12" s="21">
        <v>0.19859611138794303</v>
      </c>
      <c r="D12" s="21">
        <v>0.11318971131684093</v>
      </c>
      <c r="E12" s="21">
        <v>1.33</v>
      </c>
      <c r="F12" s="22"/>
      <c r="G12" s="21"/>
      <c r="H12" s="22">
        <v>0.19117115660196066</v>
      </c>
      <c r="I12" s="22">
        <v>9.3945523327245456E-2</v>
      </c>
      <c r="J12" s="21">
        <v>1.5</v>
      </c>
      <c r="K12" s="22"/>
      <c r="L12" s="21"/>
      <c r="M12" s="21">
        <v>0.1703545053773895</v>
      </c>
      <c r="N12" s="21">
        <v>9.1463664003908471E-2</v>
      </c>
      <c r="O12" s="21">
        <v>1.56</v>
      </c>
      <c r="P12" s="22"/>
      <c r="Q12" s="21"/>
      <c r="R12" s="22">
        <v>0.14085658272006005</v>
      </c>
      <c r="S12" s="22">
        <v>9.1861596155847575E-2</v>
      </c>
      <c r="T12" s="21">
        <v>1.52</v>
      </c>
      <c r="U12" s="22"/>
      <c r="V12" s="21"/>
    </row>
    <row r="13" spans="1:22" x14ac:dyDescent="0.25">
      <c r="A13" s="1" t="s">
        <v>10</v>
      </c>
      <c r="B13" s="1" t="s">
        <v>3</v>
      </c>
      <c r="C13" s="22">
        <v>0.22513636484662961</v>
      </c>
      <c r="D13" s="22">
        <v>0.12779394902495608</v>
      </c>
      <c r="E13" s="22">
        <v>1.5</v>
      </c>
      <c r="F13" s="21">
        <v>0.41941035413167033</v>
      </c>
      <c r="G13" s="22">
        <v>0.77140434038796801</v>
      </c>
      <c r="H13" s="21">
        <v>0.20143324417591132</v>
      </c>
      <c r="I13" s="21">
        <v>9.9378214899136938E-2</v>
      </c>
      <c r="J13" s="22">
        <v>1.5249999999999999</v>
      </c>
      <c r="K13" s="21">
        <v>0.9695486063563995</v>
      </c>
      <c r="L13" s="22">
        <v>0.81380108193100897</v>
      </c>
      <c r="M13" s="22">
        <v>0.1726395308112432</v>
      </c>
      <c r="N13" s="22">
        <v>9.3277759123089124E-2</v>
      </c>
      <c r="O13" s="22">
        <v>1.43</v>
      </c>
      <c r="P13" s="21">
        <v>0.65382351211645828</v>
      </c>
      <c r="Q13" s="22">
        <v>0.25724447535051465</v>
      </c>
      <c r="R13" s="21">
        <v>0.14325514487489829</v>
      </c>
      <c r="S13" s="21">
        <v>9.3396375628691131E-2</v>
      </c>
      <c r="T13" s="22">
        <v>1.27</v>
      </c>
      <c r="U13" s="21">
        <v>0.59696057272145209</v>
      </c>
      <c r="V13" s="22">
        <v>1.1207526122194718E-5</v>
      </c>
    </row>
    <row r="14" spans="1:22" x14ac:dyDescent="0.25">
      <c r="A14" s="3"/>
      <c r="B14" s="3" t="s">
        <v>2</v>
      </c>
      <c r="C14" s="22">
        <v>0.22576781469061977</v>
      </c>
      <c r="D14" s="22">
        <v>0.1290406093323167</v>
      </c>
      <c r="E14" s="22">
        <v>1.5</v>
      </c>
      <c r="F14" s="21"/>
      <c r="G14" s="22"/>
      <c r="H14" s="21">
        <v>0.20141088344271182</v>
      </c>
      <c r="I14" s="21">
        <v>9.9636717380810688E-2</v>
      </c>
      <c r="J14" s="22">
        <v>1.4750000000000001</v>
      </c>
      <c r="K14" s="21"/>
      <c r="L14" s="22"/>
      <c r="M14" s="22">
        <v>0.17273918932577559</v>
      </c>
      <c r="N14" s="22">
        <v>9.3058320982274317E-2</v>
      </c>
      <c r="O14" s="22">
        <v>1.57</v>
      </c>
      <c r="P14" s="21"/>
      <c r="Q14" s="22"/>
      <c r="R14" s="21">
        <v>0.14338838583219571</v>
      </c>
      <c r="S14" s="21">
        <v>9.3519588019400468E-2</v>
      </c>
      <c r="T14" s="22">
        <v>1.73</v>
      </c>
      <c r="U14" s="21"/>
      <c r="V14" s="22"/>
    </row>
    <row r="15" spans="1:22" x14ac:dyDescent="0.25">
      <c r="A15" s="1" t="s">
        <v>11</v>
      </c>
      <c r="B15" s="1" t="s">
        <v>3</v>
      </c>
      <c r="C15" s="21">
        <v>0.18016597909889642</v>
      </c>
      <c r="D15" s="21">
        <v>0.10517843330399775</v>
      </c>
      <c r="E15" s="21">
        <v>1.6</v>
      </c>
      <c r="F15" s="22">
        <v>7.0744809209675303E-4</v>
      </c>
      <c r="G15" s="21">
        <v>1.4105445760093109E-3</v>
      </c>
      <c r="H15" s="22">
        <v>0.13706971174359073</v>
      </c>
      <c r="I15" s="22">
        <v>5.9714044999828408E-2</v>
      </c>
      <c r="J15" s="21">
        <v>1.53</v>
      </c>
      <c r="K15" s="22">
        <v>0.1381774866487869</v>
      </c>
      <c r="L15" s="21">
        <v>0.34350707508660272</v>
      </c>
      <c r="M15" s="21">
        <v>9.9726466701061944E-2</v>
      </c>
      <c r="N15" s="21">
        <v>4.5354425420836071E-2</v>
      </c>
      <c r="O15" s="21">
        <v>1.49</v>
      </c>
      <c r="P15" s="22">
        <v>0.33832152181732417</v>
      </c>
      <c r="Q15" s="21">
        <v>0.39860863913172351</v>
      </c>
      <c r="R15" s="22">
        <v>7.8201000333092144E-2</v>
      </c>
      <c r="S15" s="22">
        <v>4.2030996032780842E-2</v>
      </c>
      <c r="T15" s="21">
        <v>1.405</v>
      </c>
      <c r="U15" s="22">
        <v>0.39656661894427364</v>
      </c>
      <c r="V15" s="21">
        <v>4.3381743940669855E-2</v>
      </c>
    </row>
    <row r="16" spans="1:22" x14ac:dyDescent="0.25">
      <c r="A16" s="3"/>
      <c r="B16" s="3" t="s">
        <v>2</v>
      </c>
      <c r="C16" s="21">
        <v>0.17980435406514603</v>
      </c>
      <c r="D16" s="21">
        <v>0.10549095773614739</v>
      </c>
      <c r="E16" s="21">
        <v>1.4</v>
      </c>
      <c r="F16" s="22"/>
      <c r="G16" s="21"/>
      <c r="H16" s="22">
        <v>0.13695997983518984</v>
      </c>
      <c r="I16" s="22">
        <v>5.9731979966808194E-2</v>
      </c>
      <c r="J16" s="21">
        <v>1.47</v>
      </c>
      <c r="K16" s="22"/>
      <c r="L16" s="21"/>
      <c r="M16" s="21">
        <v>0.10036500267594996</v>
      </c>
      <c r="N16" s="21">
        <v>4.6501961916191853E-2</v>
      </c>
      <c r="O16" s="21">
        <v>1.51</v>
      </c>
      <c r="P16" s="22"/>
      <c r="Q16" s="21"/>
      <c r="R16" s="22">
        <v>7.9136839915049342E-2</v>
      </c>
      <c r="S16" s="22">
        <v>4.3315925017022257E-2</v>
      </c>
      <c r="T16" s="21">
        <v>1.595</v>
      </c>
      <c r="U16" s="22"/>
      <c r="V16" s="21"/>
    </row>
    <row r="17" spans="1:22" x14ac:dyDescent="0.25">
      <c r="A17" s="1" t="s">
        <v>12</v>
      </c>
      <c r="B17" s="1" t="s">
        <v>3</v>
      </c>
      <c r="C17" s="22">
        <v>0.13269026763491468</v>
      </c>
      <c r="D17" s="22">
        <v>6.3880279010346611E-2</v>
      </c>
      <c r="E17" s="22">
        <v>1.64</v>
      </c>
      <c r="F17" s="21">
        <v>2.044674160792047E-3</v>
      </c>
      <c r="G17" s="22">
        <v>2.8567421926795635E-3</v>
      </c>
      <c r="H17" s="21">
        <v>4.2404161772502488E-2</v>
      </c>
      <c r="I17" s="21">
        <v>1.8731138664990342E-2</v>
      </c>
      <c r="J17" s="22">
        <v>1.53</v>
      </c>
      <c r="K17" s="21">
        <v>0.30840141183005559</v>
      </c>
      <c r="L17" s="22">
        <v>0.52359785195897002</v>
      </c>
      <c r="M17" s="22">
        <v>1.8257535609800382E-2</v>
      </c>
      <c r="N17" s="22">
        <v>8.184880925509978E-3</v>
      </c>
      <c r="O17" s="22">
        <v>1.6</v>
      </c>
      <c r="P17" s="21">
        <v>8.4827805207550566E-2</v>
      </c>
      <c r="Q17" s="22">
        <v>9.7812291366758411E-2</v>
      </c>
      <c r="R17" s="21">
        <v>9.203781816066561E-3</v>
      </c>
      <c r="S17" s="21">
        <v>4.2485919727228861E-3</v>
      </c>
      <c r="T17" s="22">
        <v>1.625</v>
      </c>
      <c r="U17" s="21">
        <v>1.1963029059875593E-3</v>
      </c>
      <c r="V17" s="22">
        <v>9.122950188516141E-4</v>
      </c>
    </row>
    <row r="18" spans="1:22" x14ac:dyDescent="0.25">
      <c r="A18" s="3"/>
      <c r="B18" s="3" t="s">
        <v>2</v>
      </c>
      <c r="C18" s="22">
        <v>0.13216826288425762</v>
      </c>
      <c r="D18" s="22">
        <v>6.3656771091729847E-2</v>
      </c>
      <c r="E18" s="22">
        <v>1.36</v>
      </c>
      <c r="F18" s="21"/>
      <c r="G18" s="22"/>
      <c r="H18" s="21">
        <v>4.2331429214179199E-2</v>
      </c>
      <c r="I18" s="21">
        <v>1.8912447162448127E-2</v>
      </c>
      <c r="J18" s="22">
        <v>1.47</v>
      </c>
      <c r="K18" s="21"/>
      <c r="L18" s="22"/>
      <c r="M18" s="22">
        <v>1.8129916788650027E-2</v>
      </c>
      <c r="N18" s="22">
        <v>8.3751883986366623E-3</v>
      </c>
      <c r="O18" s="22">
        <v>1.4</v>
      </c>
      <c r="P18" s="21"/>
      <c r="Q18" s="22"/>
      <c r="R18" s="21">
        <v>8.9461918264624584E-3</v>
      </c>
      <c r="S18" s="21">
        <v>4.2071015762101243E-3</v>
      </c>
      <c r="T18" s="22">
        <v>1.375</v>
      </c>
      <c r="U18" s="21"/>
      <c r="V18" s="22"/>
    </row>
    <row r="19" spans="1:22" x14ac:dyDescent="0.25">
      <c r="A19" s="1" t="s">
        <v>13</v>
      </c>
      <c r="B19" s="1" t="s">
        <v>3</v>
      </c>
      <c r="C19" s="21">
        <v>0.15700788160496187</v>
      </c>
      <c r="D19" s="21">
        <v>6.6899581076057965E-2</v>
      </c>
      <c r="E19" s="21">
        <v>1.52</v>
      </c>
      <c r="F19" s="22">
        <v>0.6188776477181217</v>
      </c>
      <c r="G19" s="21">
        <v>0.68116066120832741</v>
      </c>
      <c r="H19" s="22">
        <v>5.3351124262474577E-2</v>
      </c>
      <c r="I19" s="22">
        <v>3.0340536829038148E-2</v>
      </c>
      <c r="J19" s="21">
        <v>1.54</v>
      </c>
      <c r="K19" s="22">
        <v>0.9831645816120016</v>
      </c>
      <c r="L19" s="21">
        <v>0.46289854743187037</v>
      </c>
      <c r="M19" s="21">
        <v>2.0030505356464716E-2</v>
      </c>
      <c r="N19" s="21">
        <v>1.2180312074739859E-2</v>
      </c>
      <c r="O19" s="21">
        <v>1.53</v>
      </c>
      <c r="P19" s="22">
        <v>0.44915742350589716</v>
      </c>
      <c r="Q19" s="21">
        <v>0.92740073055785277</v>
      </c>
      <c r="R19" s="22">
        <v>1.0717832161347167E-2</v>
      </c>
      <c r="S19" s="22">
        <v>1.3806967640565885E-2</v>
      </c>
      <c r="T19" s="21">
        <v>1.53</v>
      </c>
      <c r="U19" s="22">
        <v>0.31557745211437865</v>
      </c>
      <c r="V19" s="21">
        <v>0.53938650071797123</v>
      </c>
    </row>
    <row r="20" spans="1:22" x14ac:dyDescent="0.25">
      <c r="A20" s="3"/>
      <c r="B20" s="3" t="s">
        <v>2</v>
      </c>
      <c r="C20" s="21">
        <v>0.15902491066639632</v>
      </c>
      <c r="D20" s="21">
        <v>7.0972751933845446E-2</v>
      </c>
      <c r="E20" s="21">
        <v>1.48</v>
      </c>
      <c r="F20" s="22"/>
      <c r="G20" s="21"/>
      <c r="H20" s="22">
        <v>5.3436497926595293E-2</v>
      </c>
      <c r="I20" s="22">
        <v>2.9726466042827662E-2</v>
      </c>
      <c r="J20" s="21">
        <v>1.46</v>
      </c>
      <c r="K20" s="22"/>
      <c r="L20" s="21"/>
      <c r="M20" s="21">
        <v>2.1549639090408093E-2</v>
      </c>
      <c r="N20" s="21">
        <v>1.9230692699831718E-2</v>
      </c>
      <c r="O20" s="21">
        <v>1.47</v>
      </c>
      <c r="P20" s="22"/>
      <c r="Q20" s="21"/>
      <c r="R20" s="22">
        <v>9.2970078363604439E-3</v>
      </c>
      <c r="S20" s="22">
        <v>6.047869671135621E-3</v>
      </c>
      <c r="T20" s="21">
        <v>1.47</v>
      </c>
      <c r="U20" s="22"/>
      <c r="V20" s="21"/>
    </row>
    <row r="21" spans="1:22" x14ac:dyDescent="0.25">
      <c r="A21" s="1" t="s">
        <v>14</v>
      </c>
      <c r="B21" s="1" t="s">
        <v>3</v>
      </c>
      <c r="C21" s="22">
        <v>0.15434532682083554</v>
      </c>
      <c r="D21" s="22">
        <v>7.8190250438483155E-2</v>
      </c>
      <c r="E21" s="22">
        <v>1.59</v>
      </c>
      <c r="F21" s="21">
        <v>6.3565876883362625E-3</v>
      </c>
      <c r="G21" s="22">
        <v>2.3146157136777805E-2</v>
      </c>
      <c r="H21" s="21">
        <v>0.14821859885337807</v>
      </c>
      <c r="I21" s="21">
        <v>6.230028652671981E-2</v>
      </c>
      <c r="J21" s="22">
        <v>1.4850000000000001</v>
      </c>
      <c r="K21" s="21">
        <v>0.24006864998422076</v>
      </c>
      <c r="L21" s="22">
        <v>0.78987712588377312</v>
      </c>
      <c r="M21" s="22">
        <v>9.8296268856656349E-2</v>
      </c>
      <c r="N21" s="22">
        <v>3.9874308308401329E-2</v>
      </c>
      <c r="O21" s="22">
        <v>1.4650000000000001</v>
      </c>
      <c r="P21" s="21">
        <v>0.62648247446944538</v>
      </c>
      <c r="Q21" s="22">
        <v>0.22419533417408088</v>
      </c>
      <c r="R21" s="21">
        <v>6.9663546515579877E-2</v>
      </c>
      <c r="S21" s="21">
        <v>3.2888870997500076E-2</v>
      </c>
      <c r="T21" s="22">
        <v>1.5</v>
      </c>
      <c r="U21" s="21">
        <v>0.24289709726023012</v>
      </c>
      <c r="V21" s="22">
        <v>0.49058156695707344</v>
      </c>
    </row>
    <row r="22" spans="1:22" x14ac:dyDescent="0.25">
      <c r="A22" s="3"/>
      <c r="B22" s="3" t="s">
        <v>2</v>
      </c>
      <c r="C22" s="22">
        <v>0.15415538142319726</v>
      </c>
      <c r="D22" s="22">
        <v>7.8363937428210212E-2</v>
      </c>
      <c r="E22" s="22">
        <v>1.41</v>
      </c>
      <c r="F22" s="21"/>
      <c r="G22" s="22"/>
      <c r="H22" s="21">
        <v>0.14807752989231499</v>
      </c>
      <c r="I22" s="21">
        <v>6.223211490310214E-2</v>
      </c>
      <c r="J22" s="22">
        <v>1.5149999999999999</v>
      </c>
      <c r="K22" s="21"/>
      <c r="L22" s="22"/>
      <c r="M22" s="22">
        <v>9.8346474155690089E-2</v>
      </c>
      <c r="N22" s="22">
        <v>3.9870580344838598E-2</v>
      </c>
      <c r="O22" s="22">
        <v>1.5349999999999999</v>
      </c>
      <c r="P22" s="21"/>
      <c r="Q22" s="22"/>
      <c r="R22" s="21">
        <v>6.9504989248162674E-2</v>
      </c>
      <c r="S22" s="21">
        <v>3.2846834495581151E-2</v>
      </c>
      <c r="T22" s="22">
        <v>1.5</v>
      </c>
      <c r="U22" s="21"/>
      <c r="V22" s="22"/>
    </row>
    <row r="23" spans="1:22" x14ac:dyDescent="0.25">
      <c r="A23" s="1" t="s">
        <v>15</v>
      </c>
      <c r="B23" s="1" t="s">
        <v>3</v>
      </c>
      <c r="C23" s="21">
        <v>0.19903353330035686</v>
      </c>
      <c r="D23" s="21">
        <v>0.11303884137429965</v>
      </c>
      <c r="E23" s="21">
        <v>1.6850000000000001</v>
      </c>
      <c r="F23" s="22">
        <v>2.3730527464606962E-2</v>
      </c>
      <c r="G23" s="21">
        <v>4.250141215080947E-6</v>
      </c>
      <c r="H23" s="22">
        <v>9.4678155762798616E-2</v>
      </c>
      <c r="I23" s="22">
        <v>5.3269842048175982E-2</v>
      </c>
      <c r="J23" s="21">
        <v>1.55</v>
      </c>
      <c r="K23" s="22">
        <v>5.9491931746627195E-2</v>
      </c>
      <c r="L23" s="21">
        <v>0.10063143568216124</v>
      </c>
      <c r="M23" s="21">
        <v>5.4563359107760598E-2</v>
      </c>
      <c r="N23" s="21">
        <v>3.5241200513444391E-2</v>
      </c>
      <c r="O23" s="21">
        <v>1.44</v>
      </c>
      <c r="P23" s="22">
        <v>0.80458200717250272</v>
      </c>
      <c r="Q23" s="21">
        <v>0.34526155184605667</v>
      </c>
      <c r="R23" s="22">
        <v>3.1713333793554489E-2</v>
      </c>
      <c r="S23" s="22">
        <v>2.3949291585668352E-2</v>
      </c>
      <c r="T23" s="21">
        <v>1.5149999999999999</v>
      </c>
      <c r="U23" s="22">
        <v>0.56826024015200116</v>
      </c>
      <c r="V23" s="21">
        <v>0.54851444271293648</v>
      </c>
    </row>
    <row r="24" spans="1:22" x14ac:dyDescent="0.25">
      <c r="A24" s="3"/>
      <c r="B24" s="3" t="s">
        <v>2</v>
      </c>
      <c r="C24" s="21">
        <v>0.19871901223004693</v>
      </c>
      <c r="D24" s="21">
        <v>0.11327618208329557</v>
      </c>
      <c r="E24" s="21">
        <v>1.3149999999999999</v>
      </c>
      <c r="F24" s="22"/>
      <c r="G24" s="21"/>
      <c r="H24" s="22">
        <v>9.4531426762635748E-2</v>
      </c>
      <c r="I24" s="22">
        <v>5.3275926659257573E-2</v>
      </c>
      <c r="J24" s="21">
        <v>1.45</v>
      </c>
      <c r="K24" s="22"/>
      <c r="L24" s="21"/>
      <c r="M24" s="21">
        <v>5.4531608938530533E-2</v>
      </c>
      <c r="N24" s="21">
        <v>3.5054766807418536E-2</v>
      </c>
      <c r="O24" s="21">
        <v>1.56</v>
      </c>
      <c r="P24" s="22"/>
      <c r="Q24" s="21"/>
      <c r="R24" s="22">
        <v>3.1617546701518895E-2</v>
      </c>
      <c r="S24" s="22">
        <v>2.3676331992721813E-2</v>
      </c>
      <c r="T24" s="21">
        <v>1.4850000000000001</v>
      </c>
      <c r="U24" s="22"/>
      <c r="V24" s="21"/>
    </row>
    <row r="25" spans="1:22" x14ac:dyDescent="0.25">
      <c r="A25" s="1" t="s">
        <v>16</v>
      </c>
      <c r="B25" s="1" t="s">
        <v>3</v>
      </c>
      <c r="C25" s="22">
        <v>0.20848764053400695</v>
      </c>
      <c r="D25" s="22">
        <v>0.10972623696292354</v>
      </c>
      <c r="E25" s="22">
        <v>1.63</v>
      </c>
      <c r="F25" s="21">
        <v>2.3319571197432883E-2</v>
      </c>
      <c r="G25" s="22">
        <v>3.7750610415743115E-5</v>
      </c>
      <c r="H25" s="21">
        <v>9.7344077884741795E-2</v>
      </c>
      <c r="I25" s="21">
        <v>5.3065696763299905E-2</v>
      </c>
      <c r="J25" s="22">
        <v>1.52</v>
      </c>
      <c r="K25" s="21">
        <v>0.34307653765307461</v>
      </c>
      <c r="L25" s="22">
        <v>0.74784411060453548</v>
      </c>
      <c r="M25" s="22">
        <v>5.7221953418268336E-2</v>
      </c>
      <c r="N25" s="22">
        <v>3.3605960466982054E-2</v>
      </c>
      <c r="O25" s="22">
        <v>1.5649999999999999</v>
      </c>
      <c r="P25" s="21">
        <v>0.2360800528501627</v>
      </c>
      <c r="Q25" s="22">
        <v>0.14159320869321745</v>
      </c>
      <c r="R25" s="21">
        <v>3.3141405405168481E-2</v>
      </c>
      <c r="S25" s="21">
        <v>2.3144798775795932E-2</v>
      </c>
      <c r="T25" s="22">
        <v>1.4950000000000001</v>
      </c>
      <c r="U25" s="21">
        <v>0.6083962418845158</v>
      </c>
      <c r="V25" s="22">
        <v>0.92740073055785277</v>
      </c>
    </row>
    <row r="26" spans="1:22" x14ac:dyDescent="0.25">
      <c r="A26" s="3"/>
      <c r="B26" s="3" t="s">
        <v>2</v>
      </c>
      <c r="C26" s="22">
        <v>0.20652237492452319</v>
      </c>
      <c r="D26" s="22">
        <v>0.11192655609995086</v>
      </c>
      <c r="E26" s="22">
        <v>1.37</v>
      </c>
      <c r="F26" s="21"/>
      <c r="G26" s="22"/>
      <c r="H26" s="21">
        <v>9.7214120268905801E-2</v>
      </c>
      <c r="I26" s="21">
        <v>5.3208296411468674E-2</v>
      </c>
      <c r="J26" s="22">
        <v>1.48</v>
      </c>
      <c r="K26" s="21"/>
      <c r="L26" s="22"/>
      <c r="M26" s="22">
        <v>5.6987698392462115E-2</v>
      </c>
      <c r="N26" s="22">
        <v>3.3553525103927034E-2</v>
      </c>
      <c r="O26" s="22">
        <v>1.4350000000000001</v>
      </c>
      <c r="P26" s="21"/>
      <c r="Q26" s="22"/>
      <c r="R26" s="21">
        <v>3.3061480500976917E-2</v>
      </c>
      <c r="S26" s="21">
        <v>2.3237138278725193E-2</v>
      </c>
      <c r="T26" s="22">
        <v>1.5049999999999999</v>
      </c>
      <c r="U26" s="21"/>
      <c r="V26" s="22"/>
    </row>
    <row r="27" spans="1:22" x14ac:dyDescent="0.25">
      <c r="A27" s="1" t="s">
        <v>17</v>
      </c>
      <c r="B27" s="1" t="s">
        <v>3</v>
      </c>
      <c r="C27" s="21">
        <v>0.20332848668942291</v>
      </c>
      <c r="D27" s="21">
        <v>0.11495851885883306</v>
      </c>
      <c r="E27" s="21">
        <v>1.4450000000000001</v>
      </c>
      <c r="F27" s="22">
        <v>0.37913407212454797</v>
      </c>
      <c r="G27" s="21">
        <v>0.92466914180577042</v>
      </c>
      <c r="H27" s="22">
        <v>9.6446244003047021E-2</v>
      </c>
      <c r="I27" s="22">
        <v>5.3947396179022208E-2</v>
      </c>
      <c r="J27" s="21">
        <v>1.425</v>
      </c>
      <c r="K27" s="22">
        <v>0.47012220668700716</v>
      </c>
      <c r="L27" s="21">
        <v>0.66609775180427999</v>
      </c>
      <c r="M27" s="21">
        <v>5.5745632617354123E-2</v>
      </c>
      <c r="N27" s="21">
        <v>3.4739775423408878E-2</v>
      </c>
      <c r="O27" s="21">
        <v>1.44</v>
      </c>
      <c r="P27" s="22">
        <v>0.95567358665239277</v>
      </c>
      <c r="Q27" s="21">
        <v>0.26749068459011066</v>
      </c>
      <c r="R27" s="22">
        <v>3.2119950173458409E-2</v>
      </c>
      <c r="S27" s="22">
        <v>2.3622088286841741E-2</v>
      </c>
      <c r="T27" s="21">
        <v>1.5149999999999999</v>
      </c>
      <c r="U27" s="22">
        <v>0.57229861079962874</v>
      </c>
      <c r="V27" s="21">
        <v>0.80048700593865418</v>
      </c>
    </row>
    <row r="28" spans="1:22" x14ac:dyDescent="0.25">
      <c r="A28" s="3"/>
      <c r="B28" s="3" t="s">
        <v>2</v>
      </c>
      <c r="C28" s="21">
        <v>0.20317065426192205</v>
      </c>
      <c r="D28" s="21">
        <v>0.11513389047738028</v>
      </c>
      <c r="E28" s="21">
        <v>1.5549999999999999</v>
      </c>
      <c r="F28" s="22"/>
      <c r="G28" s="21"/>
      <c r="H28" s="22">
        <v>9.6385600685977402E-2</v>
      </c>
      <c r="I28" s="22">
        <v>5.3993203239056292E-2</v>
      </c>
      <c r="J28" s="21">
        <v>1.575</v>
      </c>
      <c r="K28" s="22"/>
      <c r="L28" s="21"/>
      <c r="M28" s="21">
        <v>5.5736564228849567E-2</v>
      </c>
      <c r="N28" s="21">
        <v>3.4804678846588027E-2</v>
      </c>
      <c r="O28" s="21">
        <v>1.56</v>
      </c>
      <c r="P28" s="22"/>
      <c r="Q28" s="21"/>
      <c r="R28" s="22">
        <v>3.2009422286134286E-2</v>
      </c>
      <c r="S28" s="22">
        <v>2.3305332747913243E-2</v>
      </c>
      <c r="T28" s="21">
        <v>1.4850000000000001</v>
      </c>
      <c r="U28" s="22"/>
      <c r="V28" s="21"/>
    </row>
    <row r="29" spans="1:22" x14ac:dyDescent="0.25">
      <c r="A29" s="1" t="s">
        <v>18</v>
      </c>
      <c r="B29" s="1" t="s">
        <v>3</v>
      </c>
      <c r="C29" s="22">
        <v>0.19889407267079146</v>
      </c>
      <c r="D29" s="22">
        <v>0.11297928849156887</v>
      </c>
      <c r="E29" s="22">
        <v>1.625</v>
      </c>
      <c r="F29" s="21">
        <v>8.9953389138083318E-4</v>
      </c>
      <c r="G29" s="22">
        <v>4.6789093535288688E-4</v>
      </c>
      <c r="H29" s="21">
        <v>9.4389482027901511E-2</v>
      </c>
      <c r="I29" s="21">
        <v>5.3144223221180356E-2</v>
      </c>
      <c r="J29" s="22">
        <v>1.52</v>
      </c>
      <c r="K29" s="21">
        <v>0.59954799525486424</v>
      </c>
      <c r="L29" s="22">
        <v>0.72967969000375232</v>
      </c>
      <c r="M29" s="22">
        <v>5.4055690184871358E-2</v>
      </c>
      <c r="N29" s="22">
        <v>3.4862944959300701E-2</v>
      </c>
      <c r="O29" s="22">
        <v>1.4650000000000001</v>
      </c>
      <c r="P29" s="21">
        <v>0.28269347599173422</v>
      </c>
      <c r="Q29" s="22">
        <v>0.83253069981514261</v>
      </c>
      <c r="R29" s="21">
        <v>3.1533919227537545E-2</v>
      </c>
      <c r="S29" s="21">
        <v>2.4064818057627051E-2</v>
      </c>
      <c r="T29" s="22">
        <v>1.45</v>
      </c>
      <c r="U29" s="21">
        <v>0.43994346478412516</v>
      </c>
      <c r="V29" s="22">
        <v>0.4220621027365421</v>
      </c>
    </row>
    <row r="30" spans="1:22" x14ac:dyDescent="0.25">
      <c r="A30" s="3"/>
      <c r="B30" s="3" t="s">
        <v>2</v>
      </c>
      <c r="C30" s="22">
        <v>0.19863882675254621</v>
      </c>
      <c r="D30" s="22">
        <v>0.11321976857804168</v>
      </c>
      <c r="E30" s="22">
        <v>1.375</v>
      </c>
      <c r="F30" s="21"/>
      <c r="G30" s="22"/>
      <c r="H30" s="21">
        <v>9.4365169334324761E-2</v>
      </c>
      <c r="I30" s="21">
        <v>5.3140403853469159E-2</v>
      </c>
      <c r="J30" s="22">
        <v>1.48</v>
      </c>
      <c r="K30" s="21"/>
      <c r="L30" s="22"/>
      <c r="M30" s="22">
        <v>5.3933701526431524E-2</v>
      </c>
      <c r="N30" s="22">
        <v>3.4747988461461161E-2</v>
      </c>
      <c r="O30" s="22">
        <v>1.5349999999999999</v>
      </c>
      <c r="P30" s="21"/>
      <c r="Q30" s="22"/>
      <c r="R30" s="21">
        <v>3.1413793642802744E-2</v>
      </c>
      <c r="S30" s="21">
        <v>2.3773212640056891E-2</v>
      </c>
      <c r="T30" s="22">
        <v>1.55</v>
      </c>
      <c r="U30" s="21"/>
      <c r="V30" s="22"/>
    </row>
    <row r="31" spans="1:22" x14ac:dyDescent="0.25">
      <c r="A31" s="1" t="s">
        <v>19</v>
      </c>
      <c r="B31" s="1" t="s">
        <v>3</v>
      </c>
      <c r="C31" s="21">
        <v>0.19884874039547148</v>
      </c>
      <c r="D31" s="21">
        <v>0.11314793002162842</v>
      </c>
      <c r="E31" s="21">
        <v>1.585</v>
      </c>
      <c r="F31" s="22">
        <v>1.5806909271696954E-2</v>
      </c>
      <c r="G31" s="21">
        <v>4.2043870676244897E-3</v>
      </c>
      <c r="H31" s="22">
        <v>9.4490457555330393E-2</v>
      </c>
      <c r="I31" s="22">
        <v>5.3167327966893191E-2</v>
      </c>
      <c r="J31" s="21">
        <v>1.5449999999999999</v>
      </c>
      <c r="K31" s="22">
        <v>0.14707863762694473</v>
      </c>
      <c r="L31" s="21">
        <v>0.11650929471625919</v>
      </c>
      <c r="M31" s="21">
        <v>5.419267760267614E-2</v>
      </c>
      <c r="N31" s="21">
        <v>3.4975945732387992E-2</v>
      </c>
      <c r="O31" s="21">
        <v>1.51</v>
      </c>
      <c r="P31" s="22">
        <v>0.52160269681386262</v>
      </c>
      <c r="Q31" s="21">
        <v>0.98216947335223692</v>
      </c>
      <c r="R31" s="22">
        <v>3.1146859771076788E-2</v>
      </c>
      <c r="S31" s="22">
        <v>2.3496871968824121E-2</v>
      </c>
      <c r="T31" s="21">
        <v>1.425</v>
      </c>
      <c r="U31" s="22">
        <v>5.2575633253169303E-3</v>
      </c>
      <c r="V31" s="21">
        <v>1.2736033369005461E-2</v>
      </c>
    </row>
    <row r="32" spans="1:22" x14ac:dyDescent="0.25">
      <c r="A32" s="3"/>
      <c r="B32" s="3" t="s">
        <v>2</v>
      </c>
      <c r="C32" s="21">
        <v>0.19865040916040011</v>
      </c>
      <c r="D32" s="21">
        <v>0.11322877860462968</v>
      </c>
      <c r="E32" s="21">
        <v>1.415</v>
      </c>
      <c r="F32" s="22"/>
      <c r="G32" s="21"/>
      <c r="H32" s="22">
        <v>9.4377887281195283E-2</v>
      </c>
      <c r="I32" s="22">
        <v>5.3173985021918647E-2</v>
      </c>
      <c r="J32" s="21">
        <v>1.4550000000000001</v>
      </c>
      <c r="K32" s="22"/>
      <c r="L32" s="21"/>
      <c r="M32" s="21">
        <v>5.4091175813372132E-2</v>
      </c>
      <c r="N32" s="21">
        <v>3.4762240383018964E-2</v>
      </c>
      <c r="O32" s="21">
        <v>1.49</v>
      </c>
      <c r="P32" s="22"/>
      <c r="Q32" s="21"/>
      <c r="R32" s="22">
        <v>3.1397282240930774E-2</v>
      </c>
      <c r="S32" s="22">
        <v>2.370985746271544E-2</v>
      </c>
      <c r="T32" s="21">
        <v>1.575</v>
      </c>
      <c r="U32" s="22"/>
      <c r="V32" s="21"/>
    </row>
    <row r="33" spans="1:22" x14ac:dyDescent="0.25">
      <c r="A33" s="1" t="s">
        <v>20</v>
      </c>
      <c r="B33" s="1" t="s">
        <v>3</v>
      </c>
      <c r="C33" s="22">
        <v>0.20207478350576505</v>
      </c>
      <c r="D33" s="22">
        <v>0.11019320425749855</v>
      </c>
      <c r="E33" s="22">
        <v>1.625</v>
      </c>
      <c r="F33" s="21">
        <v>8.1303384058467338E-5</v>
      </c>
      <c r="G33" s="22">
        <v>4.6189427673812506E-4</v>
      </c>
      <c r="H33" s="21">
        <v>9.5705095273332277E-2</v>
      </c>
      <c r="I33" s="21">
        <v>5.1585238950378434E-2</v>
      </c>
      <c r="J33" s="22">
        <v>1.5049999999999999</v>
      </c>
      <c r="K33" s="21">
        <v>0.98687240928753339</v>
      </c>
      <c r="L33" s="22">
        <v>0.85135587865484941</v>
      </c>
      <c r="M33" s="22">
        <v>5.56555735257033E-2</v>
      </c>
      <c r="N33" s="22">
        <v>3.342518907902086E-2</v>
      </c>
      <c r="O33" s="22">
        <v>1.54</v>
      </c>
      <c r="P33" s="21">
        <v>0.801691470718364</v>
      </c>
      <c r="Q33" s="22">
        <v>0.33138558298882442</v>
      </c>
      <c r="R33" s="21">
        <v>3.2453095843156546E-2</v>
      </c>
      <c r="S33" s="21">
        <v>2.2633610160145187E-2</v>
      </c>
      <c r="T33" s="22">
        <v>1.49</v>
      </c>
      <c r="U33" s="21">
        <v>0.94013575542123307</v>
      </c>
      <c r="V33" s="22">
        <v>0.89196845656477985</v>
      </c>
    </row>
    <row r="34" spans="1:22" x14ac:dyDescent="0.25">
      <c r="A34" s="3"/>
      <c r="B34" s="3" t="s">
        <v>2</v>
      </c>
      <c r="C34" s="22">
        <v>0.20147589061437188</v>
      </c>
      <c r="D34" s="22">
        <v>0.11052027232778565</v>
      </c>
      <c r="E34" s="22">
        <v>1.375</v>
      </c>
      <c r="F34" s="21"/>
      <c r="G34" s="22"/>
      <c r="H34" s="21">
        <v>9.5704187857132583E-2</v>
      </c>
      <c r="I34" s="21">
        <v>5.1524937680984075E-2</v>
      </c>
      <c r="J34" s="22">
        <v>1.4950000000000001</v>
      </c>
      <c r="K34" s="21"/>
      <c r="L34" s="22"/>
      <c r="M34" s="22">
        <v>5.5607709890188692E-2</v>
      </c>
      <c r="N34" s="22">
        <v>3.3197003987358288E-2</v>
      </c>
      <c r="O34" s="22">
        <v>1.46</v>
      </c>
      <c r="P34" s="21"/>
      <c r="Q34" s="22"/>
      <c r="R34" s="21">
        <v>3.2463642955100923E-2</v>
      </c>
      <c r="S34" s="21">
        <v>2.2508947491179918E-2</v>
      </c>
      <c r="T34" s="22">
        <v>1.51</v>
      </c>
      <c r="U34" s="21"/>
      <c r="V34" s="22"/>
    </row>
    <row r="35" spans="1:22" x14ac:dyDescent="0.25">
      <c r="A35" s="1" t="s">
        <v>31</v>
      </c>
      <c r="B35" s="1" t="s">
        <v>3</v>
      </c>
      <c r="C35" s="21">
        <v>0.12212340109858204</v>
      </c>
      <c r="D35" s="21">
        <v>5.8429898298317046E-2</v>
      </c>
      <c r="E35" s="21">
        <v>1.6</v>
      </c>
      <c r="F35" s="22">
        <v>3.5447045912174019E-3</v>
      </c>
      <c r="G35" s="21">
        <v>8.7919003985762639E-4</v>
      </c>
      <c r="H35" s="13"/>
      <c r="I35" s="14"/>
      <c r="J35" s="14"/>
      <c r="K35" s="14"/>
      <c r="L35" s="15"/>
      <c r="M35" s="13"/>
      <c r="N35" s="14"/>
      <c r="O35" s="14"/>
      <c r="P35" s="14"/>
      <c r="Q35" s="14"/>
      <c r="R35" s="17"/>
      <c r="S35" s="18"/>
      <c r="T35" s="18"/>
      <c r="U35" s="18"/>
      <c r="V35" s="10"/>
    </row>
    <row r="36" spans="1:22" x14ac:dyDescent="0.25">
      <c r="A36" s="3"/>
      <c r="B36" s="3" t="s">
        <v>2</v>
      </c>
      <c r="C36" s="21">
        <v>0.12191127410802133</v>
      </c>
      <c r="D36" s="21">
        <v>5.8642935895059832E-2</v>
      </c>
      <c r="E36" s="21">
        <v>1.4</v>
      </c>
      <c r="F36" s="22"/>
      <c r="G36" s="21"/>
      <c r="H36" s="16"/>
      <c r="I36" s="11"/>
      <c r="J36" s="11"/>
      <c r="K36" s="11"/>
      <c r="L36" s="12"/>
      <c r="M36" s="16"/>
      <c r="N36" s="11"/>
      <c r="O36" s="11"/>
      <c r="P36" s="11"/>
      <c r="Q36" s="11"/>
      <c r="R36" s="17"/>
      <c r="S36" s="18"/>
      <c r="T36" s="18"/>
      <c r="U36" s="18"/>
      <c r="V36" s="10"/>
    </row>
    <row r="37" spans="1:22" x14ac:dyDescent="0.25">
      <c r="A37" s="1" t="s">
        <v>32</v>
      </c>
      <c r="B37" s="1" t="s">
        <v>3</v>
      </c>
      <c r="C37" s="22">
        <v>0.18154482001243763</v>
      </c>
      <c r="D37" s="22">
        <v>9.8294984043107714E-2</v>
      </c>
      <c r="E37" s="22">
        <v>1.625</v>
      </c>
      <c r="F37" s="21">
        <v>3.7935080174169751E-2</v>
      </c>
      <c r="G37" s="22">
        <v>5.6701508168284704E-4</v>
      </c>
      <c r="H37" s="17"/>
      <c r="I37" s="18"/>
      <c r="J37" s="18"/>
      <c r="K37" s="18"/>
      <c r="L37" s="10"/>
      <c r="M37" s="17"/>
      <c r="N37" s="18"/>
      <c r="O37" s="18"/>
      <c r="P37" s="18"/>
      <c r="Q37" s="18"/>
      <c r="R37" s="17"/>
      <c r="S37" s="18"/>
      <c r="T37" s="18"/>
      <c r="U37" s="18"/>
      <c r="V37" s="10"/>
    </row>
    <row r="38" spans="1:22" x14ac:dyDescent="0.25">
      <c r="A38" s="3"/>
      <c r="B38" s="3" t="s">
        <v>2</v>
      </c>
      <c r="C38" s="22">
        <v>0.18124914094222982</v>
      </c>
      <c r="D38" s="22">
        <v>9.8490916719338698E-2</v>
      </c>
      <c r="E38" s="22">
        <v>1.375</v>
      </c>
      <c r="F38" s="21"/>
      <c r="G38" s="22"/>
      <c r="H38" s="16"/>
      <c r="I38" s="11"/>
      <c r="J38" s="11"/>
      <c r="K38" s="11"/>
      <c r="L38" s="12"/>
      <c r="M38" s="16"/>
      <c r="N38" s="11"/>
      <c r="O38" s="11"/>
      <c r="P38" s="11"/>
      <c r="Q38" s="11"/>
      <c r="R38" s="17"/>
      <c r="S38" s="18"/>
      <c r="T38" s="18"/>
      <c r="U38" s="18"/>
      <c r="V38" s="10"/>
    </row>
    <row r="39" spans="1:22" x14ac:dyDescent="0.25">
      <c r="A39" s="1" t="s">
        <v>34</v>
      </c>
      <c r="B39" s="1" t="s">
        <v>3</v>
      </c>
      <c r="C39" s="21">
        <v>0.15142612215839982</v>
      </c>
      <c r="D39" s="21">
        <v>7.6912149421149462E-2</v>
      </c>
      <c r="E39" s="21">
        <v>1.64</v>
      </c>
      <c r="F39" s="22">
        <v>8.6322927116767537E-3</v>
      </c>
      <c r="G39" s="21">
        <v>1.5019117284310868E-4</v>
      </c>
      <c r="H39" s="17"/>
      <c r="I39" s="18"/>
      <c r="J39" s="18"/>
      <c r="K39" s="18"/>
      <c r="L39" s="10"/>
      <c r="M39" s="17"/>
      <c r="N39" s="18"/>
      <c r="O39" s="18"/>
      <c r="P39" s="18"/>
      <c r="Q39" s="18"/>
      <c r="R39" s="17"/>
      <c r="S39" s="18"/>
      <c r="T39" s="18"/>
      <c r="U39" s="18"/>
      <c r="V39" s="10"/>
    </row>
    <row r="40" spans="1:22" x14ac:dyDescent="0.25">
      <c r="A40" s="3"/>
      <c r="B40" s="3" t="s">
        <v>2</v>
      </c>
      <c r="C40" s="21">
        <v>0.15121808809478129</v>
      </c>
      <c r="D40" s="21">
        <v>7.7127647655248308E-2</v>
      </c>
      <c r="E40" s="21">
        <v>1.36</v>
      </c>
      <c r="F40" s="22"/>
      <c r="G40" s="21"/>
      <c r="H40" s="16"/>
      <c r="I40" s="11"/>
      <c r="J40" s="11"/>
      <c r="K40" s="11"/>
      <c r="L40" s="12"/>
      <c r="M40" s="16"/>
      <c r="N40" s="11"/>
      <c r="O40" s="11"/>
      <c r="P40" s="11"/>
      <c r="Q40" s="11"/>
      <c r="R40" s="17"/>
      <c r="S40" s="18"/>
      <c r="T40" s="18"/>
      <c r="U40" s="18"/>
      <c r="V40" s="10"/>
    </row>
    <row r="41" spans="1:22" x14ac:dyDescent="0.25">
      <c r="A41" s="1" t="s">
        <v>33</v>
      </c>
      <c r="B41" s="1" t="s">
        <v>3</v>
      </c>
      <c r="C41" s="22">
        <v>0.12211529775477731</v>
      </c>
      <c r="D41" s="22">
        <v>5.8620508167832437E-2</v>
      </c>
      <c r="E41" s="22">
        <v>1.635</v>
      </c>
      <c r="F41" s="21">
        <v>1.0947019029249079E-2</v>
      </c>
      <c r="G41" s="22">
        <v>3.3768583376258192E-3</v>
      </c>
      <c r="H41" s="17"/>
      <c r="I41" s="18"/>
      <c r="J41" s="18"/>
      <c r="K41" s="18"/>
      <c r="L41" s="10"/>
      <c r="M41" s="17"/>
      <c r="N41" s="18"/>
      <c r="O41" s="18"/>
      <c r="P41" s="18"/>
      <c r="Q41" s="18"/>
      <c r="R41" s="17"/>
      <c r="S41" s="18"/>
      <c r="T41" s="18"/>
      <c r="U41" s="18"/>
      <c r="V41" s="10"/>
    </row>
    <row r="42" spans="1:22" x14ac:dyDescent="0.25">
      <c r="A42" s="3"/>
      <c r="B42" s="3" t="s">
        <v>2</v>
      </c>
      <c r="C42" s="22">
        <v>0.12203212746728187</v>
      </c>
      <c r="D42" s="22">
        <v>5.8691397342235115E-2</v>
      </c>
      <c r="E42" s="22">
        <v>1.365</v>
      </c>
      <c r="F42" s="21"/>
      <c r="G42" s="22"/>
      <c r="H42" s="16"/>
      <c r="I42" s="11"/>
      <c r="J42" s="11"/>
      <c r="K42" s="11"/>
      <c r="L42" s="12"/>
      <c r="M42" s="16"/>
      <c r="N42" s="11"/>
      <c r="O42" s="11"/>
      <c r="P42" s="11"/>
      <c r="Q42" s="11"/>
      <c r="R42" s="17"/>
      <c r="S42" s="18"/>
      <c r="T42" s="18"/>
      <c r="U42" s="18"/>
      <c r="V42" s="10"/>
    </row>
    <row r="43" spans="1:22" x14ac:dyDescent="0.25">
      <c r="A43" s="1" t="s">
        <v>35</v>
      </c>
      <c r="B43" s="1" t="s">
        <v>3</v>
      </c>
      <c r="C43" s="21">
        <v>7.9945977888734795E-2</v>
      </c>
      <c r="D43" s="21">
        <v>2.797655136684048E-2</v>
      </c>
      <c r="E43" s="21">
        <v>1.48</v>
      </c>
      <c r="F43" s="22">
        <v>0.76152352360302122</v>
      </c>
      <c r="G43" s="21">
        <v>0.15811717032974501</v>
      </c>
      <c r="H43" s="17"/>
      <c r="I43" s="18"/>
      <c r="J43" s="18"/>
      <c r="K43" s="18"/>
      <c r="L43" s="10"/>
      <c r="M43" s="17"/>
      <c r="N43" s="18"/>
      <c r="O43" s="18"/>
      <c r="P43" s="18"/>
      <c r="Q43" s="18"/>
      <c r="R43" s="17"/>
      <c r="S43" s="18"/>
      <c r="T43" s="18"/>
      <c r="U43" s="18"/>
      <c r="V43" s="10"/>
    </row>
    <row r="44" spans="1:22" x14ac:dyDescent="0.25">
      <c r="A44" s="3"/>
      <c r="B44" s="3" t="s">
        <v>2</v>
      </c>
      <c r="C44" s="21">
        <v>7.9756480086651427E-2</v>
      </c>
      <c r="D44" s="21">
        <v>2.7204667538624314E-2</v>
      </c>
      <c r="E44" s="21">
        <v>1.52</v>
      </c>
      <c r="F44" s="22"/>
      <c r="G44" s="21"/>
      <c r="H44" s="16"/>
      <c r="I44" s="11"/>
      <c r="J44" s="11"/>
      <c r="K44" s="11"/>
      <c r="L44" s="12"/>
      <c r="M44" s="16"/>
      <c r="N44" s="11"/>
      <c r="O44" s="11"/>
      <c r="P44" s="11"/>
      <c r="Q44" s="11"/>
      <c r="R44" s="17"/>
      <c r="S44" s="18"/>
      <c r="T44" s="18"/>
      <c r="U44" s="18"/>
      <c r="V44" s="10"/>
    </row>
    <row r="45" spans="1:22" x14ac:dyDescent="0.25">
      <c r="A45" s="1" t="s">
        <v>36</v>
      </c>
      <c r="B45" s="1" t="s">
        <v>3</v>
      </c>
      <c r="C45" s="22">
        <v>0.17024786996390984</v>
      </c>
      <c r="D45" s="22">
        <v>8.9618188756041786E-2</v>
      </c>
      <c r="E45" s="22">
        <v>1.61</v>
      </c>
      <c r="F45" s="21">
        <v>4.3513023994701068E-3</v>
      </c>
      <c r="G45" s="22">
        <v>2.8889977163889897E-3</v>
      </c>
      <c r="H45" s="17"/>
      <c r="I45" s="18"/>
      <c r="J45" s="18"/>
      <c r="K45" s="18"/>
      <c r="L45" s="10"/>
      <c r="M45" s="17"/>
      <c r="N45" s="18"/>
      <c r="O45" s="18"/>
      <c r="P45" s="18"/>
      <c r="Q45" s="18"/>
      <c r="R45" s="17"/>
      <c r="S45" s="18"/>
      <c r="T45" s="18"/>
      <c r="U45" s="18"/>
      <c r="V45" s="10"/>
    </row>
    <row r="46" spans="1:22" x14ac:dyDescent="0.25">
      <c r="A46" s="3"/>
      <c r="B46" s="3" t="s">
        <v>2</v>
      </c>
      <c r="C46" s="22">
        <v>0.16986913668903594</v>
      </c>
      <c r="D46" s="22">
        <v>9.0010666221117655E-2</v>
      </c>
      <c r="E46" s="22">
        <v>1.39</v>
      </c>
      <c r="F46" s="21"/>
      <c r="G46" s="22"/>
      <c r="H46" s="16"/>
      <c r="I46" s="11"/>
      <c r="J46" s="11"/>
      <c r="K46" s="11"/>
      <c r="L46" s="12"/>
      <c r="M46" s="16"/>
      <c r="N46" s="11"/>
      <c r="O46" s="11"/>
      <c r="P46" s="11"/>
      <c r="Q46" s="11"/>
      <c r="R46" s="16"/>
      <c r="S46" s="11"/>
      <c r="T46" s="11"/>
      <c r="U46" s="11"/>
      <c r="V46" s="12"/>
    </row>
    <row r="51" spans="1:22" x14ac:dyDescent="0.25">
      <c r="A51">
        <v>1</v>
      </c>
      <c r="B51">
        <v>2</v>
      </c>
      <c r="C51">
        <v>3</v>
      </c>
      <c r="D51">
        <v>4</v>
      </c>
      <c r="E51">
        <v>5</v>
      </c>
      <c r="F51">
        <v>6</v>
      </c>
      <c r="G51">
        <v>7</v>
      </c>
      <c r="H51">
        <v>8</v>
      </c>
      <c r="I51">
        <v>9</v>
      </c>
      <c r="J51">
        <v>10</v>
      </c>
      <c r="K51">
        <v>11</v>
      </c>
      <c r="L51">
        <v>12</v>
      </c>
      <c r="M51">
        <v>13</v>
      </c>
      <c r="N51">
        <v>14</v>
      </c>
      <c r="O51">
        <v>15</v>
      </c>
      <c r="P51">
        <v>16</v>
      </c>
      <c r="Q51">
        <v>17</v>
      </c>
      <c r="R51">
        <v>18</v>
      </c>
      <c r="S51">
        <v>19</v>
      </c>
      <c r="T51">
        <v>20</v>
      </c>
      <c r="U51">
        <v>21</v>
      </c>
      <c r="V51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F1026-BB3F-4FD0-88E5-0297C278F08A}">
  <dimension ref="A1:V51"/>
  <sheetViews>
    <sheetView zoomScaleNormal="100" workbookViewId="0">
      <selection activeCell="Y3" sqref="Y3:AD179"/>
    </sheetView>
  </sheetViews>
  <sheetFormatPr defaultRowHeight="15" x14ac:dyDescent="0.25"/>
  <sheetData>
    <row r="1" spans="1:22" x14ac:dyDescent="0.25">
      <c r="A1" s="6" t="s">
        <v>39</v>
      </c>
      <c r="B1" s="6" t="s">
        <v>23</v>
      </c>
      <c r="C1" s="1" t="s">
        <v>24</v>
      </c>
      <c r="D1" s="5"/>
      <c r="E1" s="5"/>
      <c r="F1" s="5"/>
      <c r="G1" s="5"/>
      <c r="H1" s="1" t="s">
        <v>25</v>
      </c>
      <c r="I1" s="5"/>
      <c r="J1" s="5"/>
      <c r="K1" s="5"/>
      <c r="L1" s="5"/>
      <c r="M1" s="1" t="s">
        <v>26</v>
      </c>
      <c r="N1" s="5"/>
      <c r="O1" s="5"/>
      <c r="P1" s="5"/>
      <c r="Q1" s="5"/>
      <c r="R1" s="7" t="s">
        <v>27</v>
      </c>
      <c r="S1" s="19"/>
      <c r="T1" s="19"/>
      <c r="U1" s="19"/>
      <c r="V1" s="9"/>
    </row>
    <row r="2" spans="1:22" x14ac:dyDescent="0.25">
      <c r="A2" s="6" t="s">
        <v>21</v>
      </c>
      <c r="B2" s="1" t="s">
        <v>22</v>
      </c>
      <c r="C2" s="1" t="s">
        <v>4</v>
      </c>
      <c r="D2" s="5" t="s">
        <v>5</v>
      </c>
      <c r="E2" s="5" t="s">
        <v>28</v>
      </c>
      <c r="F2" s="2" t="s">
        <v>37</v>
      </c>
      <c r="G2" s="2" t="s">
        <v>38</v>
      </c>
      <c r="H2" s="5" t="s">
        <v>4</v>
      </c>
      <c r="I2" s="5" t="s">
        <v>5</v>
      </c>
      <c r="J2" s="5" t="s">
        <v>28</v>
      </c>
      <c r="K2" s="2" t="s">
        <v>37</v>
      </c>
      <c r="L2" s="2" t="s">
        <v>38</v>
      </c>
      <c r="M2" s="1" t="s">
        <v>4</v>
      </c>
      <c r="N2" s="5" t="s">
        <v>5</v>
      </c>
      <c r="O2" s="5" t="s">
        <v>28</v>
      </c>
      <c r="P2" s="2" t="s">
        <v>37</v>
      </c>
      <c r="Q2" s="5" t="s">
        <v>38</v>
      </c>
      <c r="R2" s="7" t="s">
        <v>4</v>
      </c>
      <c r="S2" s="19" t="s">
        <v>5</v>
      </c>
      <c r="T2" s="19" t="s">
        <v>28</v>
      </c>
      <c r="U2" s="19" t="s">
        <v>37</v>
      </c>
      <c r="V2" s="9" t="s">
        <v>38</v>
      </c>
    </row>
    <row r="3" spans="1:22" x14ac:dyDescent="0.25">
      <c r="A3" s="1" t="s">
        <v>0</v>
      </c>
      <c r="B3" s="1" t="s">
        <v>3</v>
      </c>
      <c r="C3" s="21">
        <v>0.16413064354290671</v>
      </c>
      <c r="D3" s="21">
        <v>7.683984372314942E-2</v>
      </c>
      <c r="E3" s="21">
        <v>1.425</v>
      </c>
      <c r="F3" s="22">
        <v>0.81286309330686934</v>
      </c>
      <c r="G3" s="21">
        <v>0.45042162282168746</v>
      </c>
      <c r="H3" s="22">
        <v>0.12448353910191404</v>
      </c>
      <c r="I3" s="22">
        <v>0.16142315506658553</v>
      </c>
      <c r="J3" s="21">
        <v>1.55</v>
      </c>
      <c r="K3" s="22">
        <v>9.2161876664458867E-2</v>
      </c>
      <c r="L3" s="21">
        <v>1.4274301685084285E-3</v>
      </c>
      <c r="M3" s="21">
        <v>0.38151858386267257</v>
      </c>
      <c r="N3" s="21">
        <v>0.66919449163874012</v>
      </c>
      <c r="O3" s="21">
        <v>1.63</v>
      </c>
      <c r="P3" s="22">
        <v>1.5147987442145644E-5</v>
      </c>
      <c r="Q3" s="21">
        <v>3.3199290952677045E-8</v>
      </c>
      <c r="R3" s="22">
        <v>0.98870329948981661</v>
      </c>
      <c r="S3" s="22">
        <v>2.0863009775505232</v>
      </c>
      <c r="T3" s="21">
        <v>1.54</v>
      </c>
      <c r="U3" s="22">
        <v>3.2136189097093505E-5</v>
      </c>
      <c r="V3" s="21">
        <v>1.3328674111979645E-5</v>
      </c>
    </row>
    <row r="4" spans="1:22" x14ac:dyDescent="0.25">
      <c r="A4" s="4"/>
      <c r="B4" s="4" t="s">
        <v>2</v>
      </c>
      <c r="C4" s="21">
        <v>0.16408561464368845</v>
      </c>
      <c r="D4" s="21">
        <v>7.6970694289543631E-2</v>
      </c>
      <c r="E4" s="21">
        <v>1.575</v>
      </c>
      <c r="F4" s="22"/>
      <c r="G4" s="21"/>
      <c r="H4" s="22">
        <v>9.8420359496066853E-2</v>
      </c>
      <c r="I4" s="22">
        <v>9.5857591590639266E-2</v>
      </c>
      <c r="J4" s="21">
        <v>1.45</v>
      </c>
      <c r="K4" s="22"/>
      <c r="L4" s="21"/>
      <c r="M4" s="21">
        <v>8.1965153831784252E-2</v>
      </c>
      <c r="N4" s="21">
        <v>3.7852190718944918E-2</v>
      </c>
      <c r="O4" s="21">
        <v>1.37</v>
      </c>
      <c r="P4" s="22"/>
      <c r="Q4" s="21"/>
      <c r="R4" s="22">
        <v>0.1225808544986588</v>
      </c>
      <c r="S4" s="22">
        <v>0.20604105167069764</v>
      </c>
      <c r="T4" s="21">
        <v>1.46</v>
      </c>
      <c r="U4" s="22"/>
      <c r="V4" s="21"/>
    </row>
    <row r="5" spans="1:22" x14ac:dyDescent="0.25">
      <c r="A5" s="1" t="s">
        <v>1</v>
      </c>
      <c r="B5" s="1" t="s">
        <v>3</v>
      </c>
      <c r="C5" s="22">
        <v>0.21202384261044366</v>
      </c>
      <c r="D5" s="22">
        <v>0.11185744224169661</v>
      </c>
      <c r="E5" s="22">
        <v>1.52</v>
      </c>
      <c r="F5" s="21">
        <v>0.85757956951912151</v>
      </c>
      <c r="G5" s="22">
        <v>0.63883281635309541</v>
      </c>
      <c r="H5" s="21">
        <v>0.12173897379565396</v>
      </c>
      <c r="I5" s="21">
        <v>4.9687316404595241E-2</v>
      </c>
      <c r="J5" s="22">
        <v>1.33</v>
      </c>
      <c r="K5" s="21">
        <v>1.9879802265626808E-3</v>
      </c>
      <c r="L5" s="22">
        <v>2.2333749842046397E-4</v>
      </c>
      <c r="M5" s="22">
        <v>0.1097847391296108</v>
      </c>
      <c r="N5" s="22">
        <v>4.859055438804534E-2</v>
      </c>
      <c r="O5" s="22">
        <v>1.34</v>
      </c>
      <c r="P5" s="21">
        <v>3.7390556190963771E-2</v>
      </c>
      <c r="Q5" s="22">
        <v>4.6189427673812506E-4</v>
      </c>
      <c r="R5" s="21">
        <v>9.9827951055779796E-2</v>
      </c>
      <c r="S5" s="21">
        <v>3.7950236429125074E-2</v>
      </c>
      <c r="T5" s="22">
        <v>1.33</v>
      </c>
      <c r="U5" s="21">
        <v>1.5928085206544394E-2</v>
      </c>
      <c r="V5" s="22">
        <v>4.9261135678105273E-4</v>
      </c>
    </row>
    <row r="6" spans="1:22" x14ac:dyDescent="0.25">
      <c r="A6" s="3"/>
      <c r="B6" s="3" t="s">
        <v>2</v>
      </c>
      <c r="C6" s="22">
        <v>0.21206668157865835</v>
      </c>
      <c r="D6" s="22">
        <v>0.1120692091011558</v>
      </c>
      <c r="E6" s="22">
        <v>1.48</v>
      </c>
      <c r="F6" s="21"/>
      <c r="G6" s="22"/>
      <c r="H6" s="21">
        <v>0.12350840378836861</v>
      </c>
      <c r="I6" s="21">
        <v>4.9683574460888488E-2</v>
      </c>
      <c r="J6" s="22">
        <v>1.67</v>
      </c>
      <c r="K6" s="21"/>
      <c r="L6" s="22"/>
      <c r="M6" s="22">
        <v>0.11187739540090677</v>
      </c>
      <c r="N6" s="22">
        <v>4.7928915669754546E-2</v>
      </c>
      <c r="O6" s="22">
        <v>1.66</v>
      </c>
      <c r="P6" s="21"/>
      <c r="Q6" s="22"/>
      <c r="R6" s="21">
        <v>0.10165668725043746</v>
      </c>
      <c r="S6" s="21">
        <v>3.7340982819907824E-2</v>
      </c>
      <c r="T6" s="22">
        <v>1.67</v>
      </c>
      <c r="U6" s="21"/>
      <c r="V6" s="22"/>
    </row>
    <row r="7" spans="1:22" x14ac:dyDescent="0.25">
      <c r="A7" s="1" t="s">
        <v>7</v>
      </c>
      <c r="B7" s="1" t="s">
        <v>3</v>
      </c>
      <c r="C7" s="21">
        <v>0.2130424683533077</v>
      </c>
      <c r="D7" s="21">
        <v>0.11150662939390965</v>
      </c>
      <c r="E7" s="21">
        <v>1.5249999999999999</v>
      </c>
      <c r="F7" s="22">
        <v>0.33775174894505577</v>
      </c>
      <c r="G7" s="21">
        <v>0.4713224197299774</v>
      </c>
      <c r="H7" s="22">
        <v>0.18909071750868847</v>
      </c>
      <c r="I7" s="22">
        <v>0.25963298936740359</v>
      </c>
      <c r="J7" s="21">
        <v>1.55</v>
      </c>
      <c r="K7" s="22">
        <v>1.1047982604241212E-2</v>
      </c>
      <c r="L7" s="21">
        <v>2.1998962187130553E-3</v>
      </c>
      <c r="M7" s="21">
        <v>0.71146941986400636</v>
      </c>
      <c r="N7" s="21">
        <v>1.2635931316618199</v>
      </c>
      <c r="O7" s="21">
        <v>1.7</v>
      </c>
      <c r="P7" s="22">
        <v>1.3139834270052225E-6</v>
      </c>
      <c r="Q7" s="21">
        <v>4.8128846612800458E-10</v>
      </c>
      <c r="R7" s="22">
        <v>2.2606334775161874</v>
      </c>
      <c r="S7" s="22">
        <v>4.4872793408759932</v>
      </c>
      <c r="T7" s="21">
        <v>1.6</v>
      </c>
      <c r="U7" s="22">
        <v>4.0412533456879697E-6</v>
      </c>
      <c r="V7" s="21">
        <v>7.4416377137699412E-7</v>
      </c>
    </row>
    <row r="8" spans="1:22" x14ac:dyDescent="0.25">
      <c r="A8" s="3"/>
      <c r="B8" s="3" t="s">
        <v>2</v>
      </c>
      <c r="C8" s="21">
        <v>0.2123407217942524</v>
      </c>
      <c r="D8" s="21">
        <v>0.11231121284122111</v>
      </c>
      <c r="E8" s="21">
        <v>1.4750000000000001</v>
      </c>
      <c r="F8" s="22"/>
      <c r="G8" s="21"/>
      <c r="H8" s="22">
        <v>0.13549228982367584</v>
      </c>
      <c r="I8" s="22">
        <v>8.3906408034710986E-2</v>
      </c>
      <c r="J8" s="21">
        <v>1.45</v>
      </c>
      <c r="K8" s="22"/>
      <c r="L8" s="21"/>
      <c r="M8" s="21">
        <v>0.16127585220931004</v>
      </c>
      <c r="N8" s="21">
        <v>0.36407824666572158</v>
      </c>
      <c r="O8" s="21">
        <v>1.3</v>
      </c>
      <c r="P8" s="22"/>
      <c r="Q8" s="21"/>
      <c r="R8" s="22">
        <v>0.25841402815118469</v>
      </c>
      <c r="S8" s="22">
        <v>0.56211470265253083</v>
      </c>
      <c r="T8" s="21">
        <v>1.4</v>
      </c>
      <c r="U8" s="22"/>
      <c r="V8" s="21"/>
    </row>
    <row r="9" spans="1:22" x14ac:dyDescent="0.25">
      <c r="A9" s="1" t="s">
        <v>8</v>
      </c>
      <c r="B9" s="1" t="s">
        <v>3</v>
      </c>
      <c r="C9" s="22">
        <v>0.21177684953394738</v>
      </c>
      <c r="D9" s="22">
        <v>0.11181367137028619</v>
      </c>
      <c r="E9" s="22">
        <v>1.44</v>
      </c>
      <c r="F9" s="21">
        <v>0.15517297118393181</v>
      </c>
      <c r="G9" s="22">
        <v>0.17716277858395404</v>
      </c>
      <c r="H9" s="21">
        <v>0.12187410570655245</v>
      </c>
      <c r="I9" s="21">
        <v>4.866117955826401E-2</v>
      </c>
      <c r="J9" s="22">
        <v>1.345</v>
      </c>
      <c r="K9" s="21">
        <v>2.8545050776863146E-3</v>
      </c>
      <c r="L9" s="22">
        <v>7.6710038437771851E-4</v>
      </c>
      <c r="M9" s="22">
        <v>0.10868520316319906</v>
      </c>
      <c r="N9" s="22">
        <v>4.6777584631209033E-2</v>
      </c>
      <c r="O9" s="22">
        <v>1.25</v>
      </c>
      <c r="P9" s="21">
        <v>7.4199413533852039E-4</v>
      </c>
      <c r="Q9" s="22">
        <v>4.2036828393491957E-7</v>
      </c>
      <c r="R9" s="21">
        <v>9.8736877471584564E-2</v>
      </c>
      <c r="S9" s="21">
        <v>3.6537721702579254E-2</v>
      </c>
      <c r="T9" s="22">
        <v>1.35</v>
      </c>
      <c r="U9" s="21">
        <v>1.2212344563888602E-3</v>
      </c>
      <c r="V9" s="22">
        <v>2.9202318016913062E-4</v>
      </c>
    </row>
    <row r="10" spans="1:22" x14ac:dyDescent="0.25">
      <c r="A10" s="3"/>
      <c r="B10" s="3" t="s">
        <v>2</v>
      </c>
      <c r="C10" s="22">
        <v>0.2304065081226935</v>
      </c>
      <c r="D10" s="22">
        <v>0.15273705325607517</v>
      </c>
      <c r="E10" s="22">
        <v>1.56</v>
      </c>
      <c r="F10" s="21"/>
      <c r="G10" s="22"/>
      <c r="H10" s="21">
        <v>0.12358242705716188</v>
      </c>
      <c r="I10" s="21">
        <v>4.9650198387312404E-2</v>
      </c>
      <c r="J10" s="22">
        <v>1.655</v>
      </c>
      <c r="K10" s="21"/>
      <c r="L10" s="22"/>
      <c r="M10" s="22">
        <v>0.11209297178108298</v>
      </c>
      <c r="N10" s="22">
        <v>4.7502638735561452E-2</v>
      </c>
      <c r="O10" s="22">
        <v>1.75</v>
      </c>
      <c r="P10" s="21"/>
      <c r="Q10" s="22"/>
      <c r="R10" s="21">
        <v>0.10179437629581647</v>
      </c>
      <c r="S10" s="21">
        <v>3.6960938022455453E-2</v>
      </c>
      <c r="T10" s="22">
        <v>1.65</v>
      </c>
      <c r="U10" s="21"/>
      <c r="V10" s="22"/>
    </row>
    <row r="11" spans="1:22" x14ac:dyDescent="0.25">
      <c r="A11" s="1" t="s">
        <v>9</v>
      </c>
      <c r="B11" s="1" t="s">
        <v>3</v>
      </c>
      <c r="C11" s="21">
        <v>0.21214629483319744</v>
      </c>
      <c r="D11" s="21">
        <v>0.11212529491356267</v>
      </c>
      <c r="E11" s="21">
        <v>1.51</v>
      </c>
      <c r="F11" s="22">
        <v>0.46238981422004893</v>
      </c>
      <c r="G11" s="21">
        <v>0.39477746376501704</v>
      </c>
      <c r="H11" s="22">
        <v>0.21331288792222453</v>
      </c>
      <c r="I11" s="22">
        <v>0.10391490737891695</v>
      </c>
      <c r="J11" s="21">
        <v>1.2150000000000001</v>
      </c>
      <c r="K11" s="22">
        <v>1.0349905511128916E-2</v>
      </c>
      <c r="L11" s="21">
        <v>1.2577331138730548E-6</v>
      </c>
      <c r="M11" s="21">
        <v>0.20513389181196207</v>
      </c>
      <c r="N11" s="21">
        <v>0.10851649859717739</v>
      </c>
      <c r="O11" s="21">
        <v>1.23</v>
      </c>
      <c r="P11" s="22">
        <v>1.3430109576261062E-3</v>
      </c>
      <c r="Q11" s="21">
        <v>2.5259334408112704E-7</v>
      </c>
      <c r="R11" s="22">
        <v>0.18120240808864888</v>
      </c>
      <c r="S11" s="22">
        <v>9.1009323434552938E-2</v>
      </c>
      <c r="T11" s="21">
        <v>1.19</v>
      </c>
      <c r="U11" s="22">
        <v>4.3245783021205933E-6</v>
      </c>
      <c r="V11" s="21">
        <v>7.8424712747422764E-11</v>
      </c>
    </row>
    <row r="12" spans="1:22" x14ac:dyDescent="0.25">
      <c r="A12" s="3"/>
      <c r="B12" s="3" t="s">
        <v>2</v>
      </c>
      <c r="C12" s="21">
        <v>0.21200778226992306</v>
      </c>
      <c r="D12" s="21">
        <v>0.11207145549281085</v>
      </c>
      <c r="E12" s="21">
        <v>1.49</v>
      </c>
      <c r="F12" s="22"/>
      <c r="G12" s="21"/>
      <c r="H12" s="22">
        <v>0.21402936381914728</v>
      </c>
      <c r="I12" s="22">
        <v>0.10351981542327143</v>
      </c>
      <c r="J12" s="21">
        <v>1.7849999999999999</v>
      </c>
      <c r="K12" s="22"/>
      <c r="L12" s="21"/>
      <c r="M12" s="21">
        <v>0.20810839538771742</v>
      </c>
      <c r="N12" s="21">
        <v>0.1080574429667485</v>
      </c>
      <c r="O12" s="21">
        <v>1.77</v>
      </c>
      <c r="P12" s="22"/>
      <c r="Q12" s="21"/>
      <c r="R12" s="22">
        <v>0.18642913352473667</v>
      </c>
      <c r="S12" s="22">
        <v>8.9522483170474482E-2</v>
      </c>
      <c r="T12" s="21">
        <v>1.81</v>
      </c>
      <c r="U12" s="22"/>
      <c r="V12" s="21"/>
    </row>
    <row r="13" spans="1:22" x14ac:dyDescent="0.25">
      <c r="A13" s="1" t="s">
        <v>10</v>
      </c>
      <c r="B13" s="1" t="s">
        <v>3</v>
      </c>
      <c r="C13" s="22">
        <v>0.23983776299572157</v>
      </c>
      <c r="D13" s="22">
        <v>0.12718446339714454</v>
      </c>
      <c r="E13" s="22">
        <v>1.4350000000000001</v>
      </c>
      <c r="F13" s="21">
        <v>0.14390520641738888</v>
      </c>
      <c r="G13" s="22">
        <v>0.21642965292158142</v>
      </c>
      <c r="H13" s="21">
        <v>0.22659657190926835</v>
      </c>
      <c r="I13" s="21">
        <v>0.11130904110147695</v>
      </c>
      <c r="J13" s="22">
        <v>1.4750000000000001</v>
      </c>
      <c r="K13" s="21">
        <v>0.95603915723744537</v>
      </c>
      <c r="L13" s="22">
        <v>0.62659642677084038</v>
      </c>
      <c r="M13" s="22">
        <v>0.21620216284264682</v>
      </c>
      <c r="N13" s="22">
        <v>0.12627912963644317</v>
      </c>
      <c r="O13" s="22">
        <v>1.425</v>
      </c>
      <c r="P13" s="21">
        <v>0.63185897813358805</v>
      </c>
      <c r="Q13" s="22">
        <v>0.55541009409101771</v>
      </c>
      <c r="R13" s="21">
        <v>0.19657884404744844</v>
      </c>
      <c r="S13" s="21">
        <v>9.5111202652905374E-2</v>
      </c>
      <c r="T13" s="22">
        <v>1.35</v>
      </c>
      <c r="U13" s="21">
        <v>0.16753400855955139</v>
      </c>
      <c r="V13" s="22">
        <v>1.0369102729498597E-2</v>
      </c>
    </row>
    <row r="14" spans="1:22" x14ac:dyDescent="0.25">
      <c r="A14" s="3"/>
      <c r="B14" s="3" t="s">
        <v>2</v>
      </c>
      <c r="C14" s="22">
        <v>0.24107001904076955</v>
      </c>
      <c r="D14" s="22">
        <v>0.12789123036628924</v>
      </c>
      <c r="E14" s="22">
        <v>1.5649999999999999</v>
      </c>
      <c r="F14" s="21"/>
      <c r="G14" s="22"/>
      <c r="H14" s="21">
        <v>0.22665049836366993</v>
      </c>
      <c r="I14" s="21">
        <v>0.10948659014338211</v>
      </c>
      <c r="J14" s="22">
        <v>1.5249999999999999</v>
      </c>
      <c r="K14" s="21"/>
      <c r="L14" s="22"/>
      <c r="M14" s="22">
        <v>0.21520660455770302</v>
      </c>
      <c r="N14" s="22">
        <v>0.11644752106345313</v>
      </c>
      <c r="O14" s="22">
        <v>1.575</v>
      </c>
      <c r="P14" s="21"/>
      <c r="Q14" s="22"/>
      <c r="R14" s="21">
        <v>0.19945249184604841</v>
      </c>
      <c r="S14" s="21">
        <v>9.2402757682143483E-2</v>
      </c>
      <c r="T14" s="22">
        <v>1.65</v>
      </c>
      <c r="U14" s="21"/>
      <c r="V14" s="22"/>
    </row>
    <row r="15" spans="1:22" x14ac:dyDescent="0.25">
      <c r="A15" s="1" t="s">
        <v>11</v>
      </c>
      <c r="B15" s="1" t="s">
        <v>3</v>
      </c>
      <c r="C15" s="21">
        <v>0.18990444542542392</v>
      </c>
      <c r="D15" s="21">
        <v>0.10338949971854974</v>
      </c>
      <c r="E15" s="21">
        <v>1.55</v>
      </c>
      <c r="F15" s="22">
        <v>0.76771883681956532</v>
      </c>
      <c r="G15" s="21">
        <v>0.45455929379668741</v>
      </c>
      <c r="H15" s="22">
        <v>0.15608513560570511</v>
      </c>
      <c r="I15" s="22">
        <v>6.1413800493714553E-2</v>
      </c>
      <c r="J15" s="21">
        <v>1.4650000000000001</v>
      </c>
      <c r="K15" s="22">
        <v>0.82188242086576446</v>
      </c>
      <c r="L15" s="21">
        <v>0.62173025430715034</v>
      </c>
      <c r="M15" s="21">
        <v>0.1415408934156934</v>
      </c>
      <c r="N15" s="21">
        <v>5.8663422794251581E-2</v>
      </c>
      <c r="O15" s="21">
        <v>1.35</v>
      </c>
      <c r="P15" s="22">
        <v>4.5415544187637526E-2</v>
      </c>
      <c r="Q15" s="21">
        <v>1.9653215562944349E-2</v>
      </c>
      <c r="R15" s="22">
        <v>0.13725481838928261</v>
      </c>
      <c r="S15" s="22">
        <v>4.5119171121189135E-2</v>
      </c>
      <c r="T15" s="21">
        <v>1.345</v>
      </c>
      <c r="U15" s="22">
        <v>6.7620197942273835E-2</v>
      </c>
      <c r="V15" s="21">
        <v>4.7342058004473725E-3</v>
      </c>
    </row>
    <row r="16" spans="1:22" x14ac:dyDescent="0.25">
      <c r="A16" s="3"/>
      <c r="B16" s="3" t="s">
        <v>2</v>
      </c>
      <c r="C16" s="21">
        <v>0.18995679858013489</v>
      </c>
      <c r="D16" s="21">
        <v>0.10349233430354457</v>
      </c>
      <c r="E16" s="21">
        <v>1.45</v>
      </c>
      <c r="F16" s="22"/>
      <c r="G16" s="21"/>
      <c r="H16" s="22">
        <v>0.15602928548796091</v>
      </c>
      <c r="I16" s="22">
        <v>6.1212099285245056E-2</v>
      </c>
      <c r="J16" s="21">
        <v>1.5349999999999999</v>
      </c>
      <c r="K16" s="22"/>
      <c r="L16" s="21"/>
      <c r="M16" s="21">
        <v>0.14355131140662819</v>
      </c>
      <c r="N16" s="21">
        <v>5.8873821214398339E-2</v>
      </c>
      <c r="O16" s="21">
        <v>1.65</v>
      </c>
      <c r="P16" s="22"/>
      <c r="Q16" s="21"/>
      <c r="R16" s="22">
        <v>0.13970340015710853</v>
      </c>
      <c r="S16" s="22">
        <v>4.4846886361716722E-2</v>
      </c>
      <c r="T16" s="21">
        <v>1.655</v>
      </c>
      <c r="U16" s="22"/>
      <c r="V16" s="21"/>
    </row>
    <row r="17" spans="1:22" x14ac:dyDescent="0.25">
      <c r="A17" s="1" t="s">
        <v>12</v>
      </c>
      <c r="B17" s="1" t="s">
        <v>3</v>
      </c>
      <c r="C17" s="22">
        <v>0.14106456924036717</v>
      </c>
      <c r="D17" s="22">
        <v>6.2689290944132267E-2</v>
      </c>
      <c r="E17" s="22">
        <v>1.6</v>
      </c>
      <c r="F17" s="21">
        <v>0.18120196412890399</v>
      </c>
      <c r="G17" s="22">
        <v>6.3599617727179161E-2</v>
      </c>
      <c r="H17" s="21">
        <v>6.0828826662601802E-2</v>
      </c>
      <c r="I17" s="21">
        <v>2.2870184187214069E-2</v>
      </c>
      <c r="J17" s="22">
        <v>1.425</v>
      </c>
      <c r="K17" s="21">
        <v>7.8100135091928133E-2</v>
      </c>
      <c r="L17" s="22">
        <v>8.5272313982899819E-2</v>
      </c>
      <c r="M17" s="22">
        <v>4.7160411531302564E-2</v>
      </c>
      <c r="N17" s="22">
        <v>2.1465308026818942E-2</v>
      </c>
      <c r="O17" s="22">
        <v>1.39</v>
      </c>
      <c r="P17" s="21">
        <v>0.12667485685119287</v>
      </c>
      <c r="Q17" s="22">
        <v>2.7406035773103816E-2</v>
      </c>
      <c r="R17" s="21">
        <v>3.6619351634680511E-2</v>
      </c>
      <c r="S17" s="21">
        <v>1.4213271076359347E-2</v>
      </c>
      <c r="T17" s="22">
        <v>1.18</v>
      </c>
      <c r="U17" s="21">
        <v>2.9664561362137062E-11</v>
      </c>
      <c r="V17" s="22">
        <v>5.1117850425245187E-12</v>
      </c>
    </row>
    <row r="18" spans="1:22" x14ac:dyDescent="0.25">
      <c r="A18" s="3"/>
      <c r="B18" s="3" t="s">
        <v>2</v>
      </c>
      <c r="C18" s="22">
        <v>0.14077705123440709</v>
      </c>
      <c r="D18" s="22">
        <v>6.2651036569982332E-2</v>
      </c>
      <c r="E18" s="22">
        <v>1.4</v>
      </c>
      <c r="F18" s="21"/>
      <c r="G18" s="22"/>
      <c r="H18" s="21">
        <v>6.119174738764948E-2</v>
      </c>
      <c r="I18" s="21">
        <v>2.2733919432983508E-2</v>
      </c>
      <c r="J18" s="22">
        <v>1.575</v>
      </c>
      <c r="K18" s="21"/>
      <c r="L18" s="22"/>
      <c r="M18" s="22">
        <v>4.8044932166519151E-2</v>
      </c>
      <c r="N18" s="22">
        <v>2.1397247172165512E-2</v>
      </c>
      <c r="O18" s="22">
        <v>1.61</v>
      </c>
      <c r="P18" s="21"/>
      <c r="Q18" s="22"/>
      <c r="R18" s="21">
        <v>4.1735589686118464E-2</v>
      </c>
      <c r="S18" s="21">
        <v>1.8084193375563933E-2</v>
      </c>
      <c r="T18" s="22">
        <v>1.82</v>
      </c>
      <c r="U18" s="21"/>
      <c r="V18" s="22"/>
    </row>
    <row r="19" spans="1:22" x14ac:dyDescent="0.25">
      <c r="A19" s="1" t="s">
        <v>13</v>
      </c>
      <c r="B19" s="1" t="s">
        <v>3</v>
      </c>
      <c r="C19" s="21">
        <v>0.16139704368832788</v>
      </c>
      <c r="D19" s="21">
        <v>6.7608292479666918E-2</v>
      </c>
      <c r="E19" s="21">
        <v>1.52</v>
      </c>
      <c r="F19" s="22">
        <v>0.54223739176116814</v>
      </c>
      <c r="G19" s="21">
        <v>0.88110614232260454</v>
      </c>
      <c r="H19" s="22">
        <v>7.0764429089737388E-2</v>
      </c>
      <c r="I19" s="22">
        <v>3.0335457962633781E-2</v>
      </c>
      <c r="J19" s="21">
        <v>1.4350000000000001</v>
      </c>
      <c r="K19" s="22">
        <v>0.87523680765730638</v>
      </c>
      <c r="L19" s="21">
        <v>0.71936697456310228</v>
      </c>
      <c r="M19" s="21">
        <v>4.9837457759339926E-2</v>
      </c>
      <c r="N19" s="21">
        <v>2.3146263256565405E-2</v>
      </c>
      <c r="O19" s="21">
        <v>1.28</v>
      </c>
      <c r="P19" s="22">
        <v>1.1017450644441047E-2</v>
      </c>
      <c r="Q19" s="21">
        <v>3.313973303168423E-6</v>
      </c>
      <c r="R19" s="22">
        <v>3.8311767292738101E-2</v>
      </c>
      <c r="S19" s="22">
        <v>1.7664775246879736E-2</v>
      </c>
      <c r="T19" s="21">
        <v>1.06</v>
      </c>
      <c r="U19" s="22">
        <v>3.3008537040238426E-9</v>
      </c>
      <c r="V19" s="21">
        <v>1.5136220602885989E-14</v>
      </c>
    </row>
    <row r="20" spans="1:22" x14ac:dyDescent="0.25">
      <c r="A20" s="3"/>
      <c r="B20" s="3" t="s">
        <v>2</v>
      </c>
      <c r="C20" s="21">
        <v>0.16378406389579792</v>
      </c>
      <c r="D20" s="21">
        <v>7.2239803531410213E-2</v>
      </c>
      <c r="E20" s="21">
        <v>1.48</v>
      </c>
      <c r="F20" s="22"/>
      <c r="G20" s="21"/>
      <c r="H20" s="22">
        <v>7.0224273553855479E-2</v>
      </c>
      <c r="I20" s="22">
        <v>2.912910704431489E-2</v>
      </c>
      <c r="J20" s="21">
        <v>1.5649999999999999</v>
      </c>
      <c r="K20" s="22"/>
      <c r="L20" s="21"/>
      <c r="M20" s="21">
        <v>5.4598621515502356E-2</v>
      </c>
      <c r="N20" s="21">
        <v>2.523729641977969E-2</v>
      </c>
      <c r="O20" s="21">
        <v>1.72</v>
      </c>
      <c r="P20" s="22"/>
      <c r="Q20" s="21"/>
      <c r="R20" s="22">
        <v>4.8804267076849178E-2</v>
      </c>
      <c r="S20" s="22">
        <v>2.1298365304767024E-2</v>
      </c>
      <c r="T20" s="21">
        <v>1.94</v>
      </c>
      <c r="U20" s="22"/>
      <c r="V20" s="21"/>
    </row>
    <row r="21" spans="1:22" x14ac:dyDescent="0.25">
      <c r="A21" s="1" t="s">
        <v>14</v>
      </c>
      <c r="B21" s="1" t="s">
        <v>3</v>
      </c>
      <c r="C21" s="22">
        <v>0.16397289041414756</v>
      </c>
      <c r="D21" s="22">
        <v>7.6875541279884094E-2</v>
      </c>
      <c r="E21" s="22">
        <v>1.365</v>
      </c>
      <c r="F21" s="21">
        <v>7.0210471315456963E-2</v>
      </c>
      <c r="G21" s="22">
        <v>2.6927854758009705E-2</v>
      </c>
      <c r="H21" s="21">
        <v>0.1689212778843342</v>
      </c>
      <c r="I21" s="21">
        <v>6.6724890275626572E-2</v>
      </c>
      <c r="J21" s="22">
        <v>1.27</v>
      </c>
      <c r="K21" s="21">
        <v>1.3132106464576113E-2</v>
      </c>
      <c r="L21" s="22">
        <v>2.3638576414127373E-5</v>
      </c>
      <c r="M21" s="22">
        <v>0.13443172976058199</v>
      </c>
      <c r="N21" s="22">
        <v>6.2726433170991192E-2</v>
      </c>
      <c r="O21" s="22">
        <v>1.27</v>
      </c>
      <c r="P21" s="21">
        <v>6.8008551648197385E-2</v>
      </c>
      <c r="Q21" s="22">
        <v>2.580899086176158E-3</v>
      </c>
      <c r="R21" s="21">
        <v>0.11233143445346344</v>
      </c>
      <c r="S21" s="21">
        <v>4.7587784613424208E-2</v>
      </c>
      <c r="T21" s="22">
        <v>1.29</v>
      </c>
      <c r="U21" s="21">
        <v>1.35934908446024E-5</v>
      </c>
      <c r="V21" s="22">
        <v>1.1333436572592957E-6</v>
      </c>
    </row>
    <row r="22" spans="1:22" x14ac:dyDescent="0.25">
      <c r="A22" s="3"/>
      <c r="B22" s="3" t="s">
        <v>2</v>
      </c>
      <c r="C22" s="22">
        <v>0.16434134839590914</v>
      </c>
      <c r="D22" s="22">
        <v>7.7144490062741974E-2</v>
      </c>
      <c r="E22" s="22">
        <v>1.635</v>
      </c>
      <c r="F22" s="21"/>
      <c r="G22" s="22"/>
      <c r="H22" s="21">
        <v>0.17005582928900762</v>
      </c>
      <c r="I22" s="21">
        <v>6.7985291733768008E-2</v>
      </c>
      <c r="J22" s="22">
        <v>1.73</v>
      </c>
      <c r="K22" s="21"/>
      <c r="L22" s="22"/>
      <c r="M22" s="22">
        <v>0.13596605657791072</v>
      </c>
      <c r="N22" s="22">
        <v>6.3718486901132423E-2</v>
      </c>
      <c r="O22" s="22">
        <v>1.73</v>
      </c>
      <c r="P22" s="21"/>
      <c r="Q22" s="22"/>
      <c r="R22" s="21">
        <v>0.11542611889523707</v>
      </c>
      <c r="S22" s="21">
        <v>4.7531215561340989E-2</v>
      </c>
      <c r="T22" s="22">
        <v>1.71</v>
      </c>
      <c r="U22" s="21"/>
      <c r="V22" s="22"/>
    </row>
    <row r="23" spans="1:22" x14ac:dyDescent="0.25">
      <c r="A23" s="1" t="s">
        <v>15</v>
      </c>
      <c r="B23" s="1" t="s">
        <v>3</v>
      </c>
      <c r="C23" s="21">
        <v>0.21225117765090637</v>
      </c>
      <c r="D23" s="21">
        <v>0.11215124624813716</v>
      </c>
      <c r="E23" s="21">
        <v>1.4750000000000001</v>
      </c>
      <c r="F23" s="22">
        <v>0.6879040654672488</v>
      </c>
      <c r="G23" s="21">
        <v>0.63147890693512743</v>
      </c>
      <c r="H23" s="22">
        <v>0.12397348140955888</v>
      </c>
      <c r="I23" s="22">
        <v>5.0125042590259121E-2</v>
      </c>
      <c r="J23" s="21">
        <v>1.35</v>
      </c>
      <c r="K23" s="22">
        <v>3.8236293972032404E-2</v>
      </c>
      <c r="L23" s="21">
        <v>8.7919003985762639E-4</v>
      </c>
      <c r="M23" s="21">
        <v>0.11128862606319329</v>
      </c>
      <c r="N23" s="21">
        <v>4.904244568994269E-2</v>
      </c>
      <c r="O23" s="21">
        <v>1.33</v>
      </c>
      <c r="P23" s="22">
        <v>6.9392274763754713E-3</v>
      </c>
      <c r="Q23" s="21">
        <v>3.8115586856342209E-3</v>
      </c>
      <c r="R23" s="22">
        <v>0.10009414082428694</v>
      </c>
      <c r="S23" s="22">
        <v>3.6051677541040855E-2</v>
      </c>
      <c r="T23" s="21">
        <v>1.39</v>
      </c>
      <c r="U23" s="22">
        <v>1.6841069111180469E-4</v>
      </c>
      <c r="V23" s="21">
        <v>3.8012858640700968E-4</v>
      </c>
    </row>
    <row r="24" spans="1:22" x14ac:dyDescent="0.25">
      <c r="A24" s="3"/>
      <c r="B24" s="3" t="s">
        <v>2</v>
      </c>
      <c r="C24" s="21">
        <v>0.21219359349568578</v>
      </c>
      <c r="D24" s="21">
        <v>0.1121733412578928</v>
      </c>
      <c r="E24" s="21">
        <v>1.5249999999999999</v>
      </c>
      <c r="F24" s="22"/>
      <c r="G24" s="21"/>
      <c r="H24" s="22">
        <v>0.12476409964307227</v>
      </c>
      <c r="I24" s="22">
        <v>4.9693071816887494E-2</v>
      </c>
      <c r="J24" s="21">
        <v>1.65</v>
      </c>
      <c r="K24" s="22"/>
      <c r="L24" s="21"/>
      <c r="M24" s="21">
        <v>0.11392903059387036</v>
      </c>
      <c r="N24" s="21">
        <v>4.9332249082750954E-2</v>
      </c>
      <c r="O24" s="21">
        <v>1.67</v>
      </c>
      <c r="P24" s="22"/>
      <c r="Q24" s="21"/>
      <c r="R24" s="22">
        <v>0.10348581824054838</v>
      </c>
      <c r="S24" s="22">
        <v>3.6822919156368442E-2</v>
      </c>
      <c r="T24" s="21">
        <v>1.61</v>
      </c>
      <c r="U24" s="22"/>
      <c r="V24" s="21"/>
    </row>
    <row r="25" spans="1:22" x14ac:dyDescent="0.25">
      <c r="A25" s="1" t="s">
        <v>16</v>
      </c>
      <c r="B25" s="1" t="s">
        <v>3</v>
      </c>
      <c r="C25" s="22">
        <v>0.22106061273469088</v>
      </c>
      <c r="D25" s="22">
        <v>0.1088137684507592</v>
      </c>
      <c r="E25" s="22">
        <v>1.49</v>
      </c>
      <c r="F25" s="21">
        <v>0.10795495613420092</v>
      </c>
      <c r="G25" s="22">
        <v>0.70399374353388611</v>
      </c>
      <c r="H25" s="21">
        <v>0.12667424880712766</v>
      </c>
      <c r="I25" s="21">
        <v>4.8749173886330363E-2</v>
      </c>
      <c r="J25" s="22">
        <v>1.325</v>
      </c>
      <c r="K25" s="21">
        <v>3.405928803640941E-2</v>
      </c>
      <c r="L25" s="22">
        <v>2.1737476490625828E-4</v>
      </c>
      <c r="M25" s="22">
        <v>0.11242190770334509</v>
      </c>
      <c r="N25" s="22">
        <v>4.7425449763445135E-2</v>
      </c>
      <c r="O25" s="22">
        <v>1.325</v>
      </c>
      <c r="P25" s="21">
        <v>1.5801967909819721E-3</v>
      </c>
      <c r="Q25" s="22">
        <v>5.5437121837747144E-5</v>
      </c>
      <c r="R25" s="21">
        <v>0.10143111430493149</v>
      </c>
      <c r="S25" s="21">
        <v>3.5941966987238762E-2</v>
      </c>
      <c r="T25" s="22">
        <v>1.34</v>
      </c>
      <c r="U25" s="21">
        <v>9.3495402926229987E-6</v>
      </c>
      <c r="V25" s="22">
        <v>4.0069416722861133E-5</v>
      </c>
    </row>
    <row r="26" spans="1:22" x14ac:dyDescent="0.25">
      <c r="A26" s="3"/>
      <c r="B26" s="3" t="s">
        <v>2</v>
      </c>
      <c r="C26" s="22">
        <v>0.21976697996827282</v>
      </c>
      <c r="D26" s="22">
        <v>0.1111959349371507</v>
      </c>
      <c r="E26" s="22">
        <v>1.51</v>
      </c>
      <c r="F26" s="21"/>
      <c r="G26" s="22"/>
      <c r="H26" s="21">
        <v>0.12810188585023444</v>
      </c>
      <c r="I26" s="21">
        <v>5.0812369832876299E-2</v>
      </c>
      <c r="J26" s="22">
        <v>1.675</v>
      </c>
      <c r="K26" s="21"/>
      <c r="L26" s="22"/>
      <c r="M26" s="22">
        <v>0.1156032138626682</v>
      </c>
      <c r="N26" s="22">
        <v>5.0359832240501147E-2</v>
      </c>
      <c r="O26" s="22">
        <v>1.675</v>
      </c>
      <c r="P26" s="21"/>
      <c r="Q26" s="22"/>
      <c r="R26" s="21">
        <v>0.10476020788049903</v>
      </c>
      <c r="S26" s="21">
        <v>3.7787368701167008E-2</v>
      </c>
      <c r="T26" s="22">
        <v>1.66</v>
      </c>
      <c r="U26" s="21"/>
      <c r="V26" s="22"/>
    </row>
    <row r="27" spans="1:22" x14ac:dyDescent="0.25">
      <c r="A27" s="1" t="s">
        <v>17</v>
      </c>
      <c r="B27" s="1" t="s">
        <v>3</v>
      </c>
      <c r="C27" s="21">
        <v>0.21661795582359336</v>
      </c>
      <c r="D27" s="21">
        <v>0.11384337224528886</v>
      </c>
      <c r="E27" s="21">
        <v>1.4450000000000001</v>
      </c>
      <c r="F27" s="22">
        <v>0.51561781940929019</v>
      </c>
      <c r="G27" s="21">
        <v>0.50146115061193741</v>
      </c>
      <c r="H27" s="22">
        <v>0.12534843375576388</v>
      </c>
      <c r="I27" s="22">
        <v>4.9469940514733829E-2</v>
      </c>
      <c r="J27" s="21">
        <v>1.3</v>
      </c>
      <c r="K27" s="22">
        <v>1.201435297025524E-3</v>
      </c>
      <c r="L27" s="21">
        <v>2.6299098899953297E-5</v>
      </c>
      <c r="M27" s="21">
        <v>0.11217998047607848</v>
      </c>
      <c r="N27" s="21">
        <v>4.8981346435479155E-2</v>
      </c>
      <c r="O27" s="21">
        <v>1.29</v>
      </c>
      <c r="P27" s="22">
        <v>1.5761745989934014E-3</v>
      </c>
      <c r="Q27" s="21">
        <v>1.8773885384456324E-5</v>
      </c>
      <c r="R27" s="22">
        <v>0.10124035043173249</v>
      </c>
      <c r="S27" s="22">
        <v>3.7045931237091087E-2</v>
      </c>
      <c r="T27" s="21">
        <v>1.43</v>
      </c>
      <c r="U27" s="22">
        <v>6.315561195111484E-2</v>
      </c>
      <c r="V27" s="21">
        <v>0.10278799323424455</v>
      </c>
    </row>
    <row r="28" spans="1:22" x14ac:dyDescent="0.25">
      <c r="A28" s="3"/>
      <c r="B28" s="3" t="s">
        <v>2</v>
      </c>
      <c r="C28" s="21">
        <v>0.21677817839928629</v>
      </c>
      <c r="D28" s="21">
        <v>0.11394132518672047</v>
      </c>
      <c r="E28" s="21">
        <v>1.5549999999999999</v>
      </c>
      <c r="F28" s="22"/>
      <c r="G28" s="21"/>
      <c r="H28" s="22">
        <v>0.12682231228316046</v>
      </c>
      <c r="I28" s="22">
        <v>4.9880253677715571E-2</v>
      </c>
      <c r="J28" s="21">
        <v>1.7</v>
      </c>
      <c r="K28" s="22"/>
      <c r="L28" s="21"/>
      <c r="M28" s="21">
        <v>0.11489606558554437</v>
      </c>
      <c r="N28" s="21">
        <v>4.9474586155357672E-2</v>
      </c>
      <c r="O28" s="21">
        <v>1.71</v>
      </c>
      <c r="P28" s="22"/>
      <c r="Q28" s="21"/>
      <c r="R28" s="22">
        <v>0.10312005342024071</v>
      </c>
      <c r="S28" s="22">
        <v>3.6829887963230931E-2</v>
      </c>
      <c r="T28" s="21">
        <v>1.57</v>
      </c>
      <c r="U28" s="22"/>
      <c r="V28" s="21"/>
    </row>
    <row r="29" spans="1:22" x14ac:dyDescent="0.25">
      <c r="A29" s="1" t="s">
        <v>18</v>
      </c>
      <c r="B29" s="1" t="s">
        <v>3</v>
      </c>
      <c r="C29" s="22">
        <v>0.21186918332605015</v>
      </c>
      <c r="D29" s="22">
        <v>0.11183607668336804</v>
      </c>
      <c r="E29" s="22">
        <v>1.5649999999999999</v>
      </c>
      <c r="F29" s="21">
        <v>0.560515333159467</v>
      </c>
      <c r="G29" s="22">
        <v>8.5272313982899819E-2</v>
      </c>
      <c r="H29" s="21">
        <v>0.12232427872094492</v>
      </c>
      <c r="I29" s="21">
        <v>4.8758663526579482E-2</v>
      </c>
      <c r="J29" s="22">
        <v>1.25</v>
      </c>
      <c r="K29" s="21">
        <v>1.2380277251948464E-4</v>
      </c>
      <c r="L29" s="22">
        <v>1.8119968679820606E-7</v>
      </c>
      <c r="M29" s="22">
        <v>0.10943681330451877</v>
      </c>
      <c r="N29" s="22">
        <v>4.7492178930528789E-2</v>
      </c>
      <c r="O29" s="22">
        <v>1.2949999999999999</v>
      </c>
      <c r="P29" s="21">
        <v>3.5182445515132181E-3</v>
      </c>
      <c r="Q29" s="22">
        <v>2.9243005514194919E-7</v>
      </c>
      <c r="R29" s="21">
        <v>9.9113870171912616E-2</v>
      </c>
      <c r="S29" s="21">
        <v>3.6197362789037395E-2</v>
      </c>
      <c r="T29" s="22">
        <v>1.35</v>
      </c>
      <c r="U29" s="21">
        <v>1.7051020360568011E-4</v>
      </c>
      <c r="V29" s="22">
        <v>2.6246314253125269E-4</v>
      </c>
    </row>
    <row r="30" spans="1:22" x14ac:dyDescent="0.25">
      <c r="A30" s="3"/>
      <c r="B30" s="3" t="s">
        <v>2</v>
      </c>
      <c r="C30" s="22">
        <v>0.21202864737714008</v>
      </c>
      <c r="D30" s="22">
        <v>0.11211378407956744</v>
      </c>
      <c r="E30" s="22">
        <v>1.4350000000000001</v>
      </c>
      <c r="F30" s="21"/>
      <c r="G30" s="22"/>
      <c r="H30" s="21">
        <v>0.12398856661142624</v>
      </c>
      <c r="I30" s="21">
        <v>4.925768510627989E-2</v>
      </c>
      <c r="J30" s="22">
        <v>1.75</v>
      </c>
      <c r="K30" s="21"/>
      <c r="L30" s="22"/>
      <c r="M30" s="22">
        <v>0.11253415067243618</v>
      </c>
      <c r="N30" s="22">
        <v>4.7676032662850934E-2</v>
      </c>
      <c r="O30" s="22">
        <v>1.7050000000000001</v>
      </c>
      <c r="P30" s="21"/>
      <c r="Q30" s="22"/>
      <c r="R30" s="21">
        <v>0.10260181682166293</v>
      </c>
      <c r="S30" s="21">
        <v>3.7366383416770912E-2</v>
      </c>
      <c r="T30" s="22">
        <v>1.65</v>
      </c>
      <c r="U30" s="21"/>
      <c r="V30" s="22"/>
    </row>
    <row r="31" spans="1:22" x14ac:dyDescent="0.25">
      <c r="A31" s="1" t="s">
        <v>19</v>
      </c>
      <c r="B31" s="1" t="s">
        <v>3</v>
      </c>
      <c r="C31" s="21">
        <v>0.211937793611818</v>
      </c>
      <c r="D31" s="21">
        <v>0.11197198384393849</v>
      </c>
      <c r="E31" s="21">
        <v>1.415</v>
      </c>
      <c r="F31" s="22">
        <v>0.74568303720459295</v>
      </c>
      <c r="G31" s="21">
        <v>1.8086215302965846E-2</v>
      </c>
      <c r="H31" s="22">
        <v>0.12241331747004582</v>
      </c>
      <c r="I31" s="22">
        <v>4.8590574023448359E-2</v>
      </c>
      <c r="J31" s="21">
        <v>1.355</v>
      </c>
      <c r="K31" s="22">
        <v>1.6334373411539031E-2</v>
      </c>
      <c r="L31" s="21">
        <v>8.2647955336283079E-4</v>
      </c>
      <c r="M31" s="21">
        <v>0.10952375390079018</v>
      </c>
      <c r="N31" s="21">
        <v>4.7578441764723901E-2</v>
      </c>
      <c r="O31" s="21">
        <v>1.24</v>
      </c>
      <c r="P31" s="22">
        <v>7.8431458370435442E-4</v>
      </c>
      <c r="Q31" s="21">
        <v>3.7231693521910186E-6</v>
      </c>
      <c r="R31" s="22">
        <v>9.9412917709032642E-2</v>
      </c>
      <c r="S31" s="22">
        <v>3.6829481752330404E-2</v>
      </c>
      <c r="T31" s="21">
        <v>1.3049999999999999</v>
      </c>
      <c r="U31" s="22">
        <v>3.4075199007605974E-4</v>
      </c>
      <c r="V31" s="21">
        <v>4.7163209299834898E-5</v>
      </c>
    </row>
    <row r="32" spans="1:22" x14ac:dyDescent="0.25">
      <c r="A32" s="3"/>
      <c r="B32" s="3" t="s">
        <v>2</v>
      </c>
      <c r="C32" s="21">
        <v>0.21200311536894645</v>
      </c>
      <c r="D32" s="21">
        <v>0.11206427434617597</v>
      </c>
      <c r="E32" s="21">
        <v>1.585</v>
      </c>
      <c r="F32" s="22"/>
      <c r="G32" s="21"/>
      <c r="H32" s="22">
        <v>0.12358796200208795</v>
      </c>
      <c r="I32" s="22">
        <v>4.8772956945998591E-2</v>
      </c>
      <c r="J32" s="21">
        <v>1.645</v>
      </c>
      <c r="K32" s="22"/>
      <c r="L32" s="21"/>
      <c r="M32" s="21">
        <v>0.11267131305288126</v>
      </c>
      <c r="N32" s="21">
        <v>4.784544766797659E-2</v>
      </c>
      <c r="O32" s="21">
        <v>1.76</v>
      </c>
      <c r="P32" s="22"/>
      <c r="Q32" s="21"/>
      <c r="R32" s="22">
        <v>0.10260685855529809</v>
      </c>
      <c r="S32" s="22">
        <v>3.754203090805918E-2</v>
      </c>
      <c r="T32" s="21">
        <v>1.6950000000000001</v>
      </c>
      <c r="U32" s="22"/>
      <c r="V32" s="21"/>
    </row>
    <row r="33" spans="1:22" x14ac:dyDescent="0.25">
      <c r="A33" s="1" t="s">
        <v>20</v>
      </c>
      <c r="B33" s="1" t="s">
        <v>3</v>
      </c>
      <c r="C33" s="22">
        <v>0.21507304914956868</v>
      </c>
      <c r="D33" s="22">
        <v>0.10920153883076954</v>
      </c>
      <c r="E33" s="22">
        <v>1.595</v>
      </c>
      <c r="F33" s="21">
        <v>0.12063509155308576</v>
      </c>
      <c r="G33" s="22">
        <v>2.1926222694853493E-2</v>
      </c>
      <c r="H33" s="21">
        <v>0.12483236430349606</v>
      </c>
      <c r="I33" s="21">
        <v>4.9268690887946331E-2</v>
      </c>
      <c r="J33" s="22">
        <v>1.355</v>
      </c>
      <c r="K33" s="21">
        <v>0.1269575500677258</v>
      </c>
      <c r="L33" s="22">
        <v>1.0681292852898759E-2</v>
      </c>
      <c r="M33" s="22">
        <v>0.11066133649188431</v>
      </c>
      <c r="N33" s="22">
        <v>4.8746146094459812E-2</v>
      </c>
      <c r="O33" s="22">
        <v>1.2849999999999999</v>
      </c>
      <c r="P33" s="21">
        <v>5.2530428795594065E-4</v>
      </c>
      <c r="Q33" s="22">
        <v>2.2208060974589237E-7</v>
      </c>
      <c r="R33" s="21">
        <v>0.10034409762428564</v>
      </c>
      <c r="S33" s="21">
        <v>3.6361341387011442E-2</v>
      </c>
      <c r="T33" s="22">
        <v>1.35</v>
      </c>
      <c r="U33" s="21">
        <v>1.7100285097388436E-4</v>
      </c>
      <c r="V33" s="22">
        <v>9.588344057557696E-5</v>
      </c>
    </row>
    <row r="34" spans="1:22" x14ac:dyDescent="0.25">
      <c r="A34" s="3"/>
      <c r="B34" s="3" t="s">
        <v>2</v>
      </c>
      <c r="C34" s="22">
        <v>0.2147297274387813</v>
      </c>
      <c r="D34" s="22">
        <v>0.10949174340814626</v>
      </c>
      <c r="E34" s="22">
        <v>1.405</v>
      </c>
      <c r="F34" s="21"/>
      <c r="G34" s="22"/>
      <c r="H34" s="21">
        <v>0.12545163750526653</v>
      </c>
      <c r="I34" s="21">
        <v>4.866286318017124E-2</v>
      </c>
      <c r="J34" s="22">
        <v>1.645</v>
      </c>
      <c r="K34" s="21"/>
      <c r="L34" s="22"/>
      <c r="M34" s="22">
        <v>0.1136557249766999</v>
      </c>
      <c r="N34" s="22">
        <v>4.9478635787212157E-2</v>
      </c>
      <c r="O34" s="22">
        <v>1.7150000000000001</v>
      </c>
      <c r="P34" s="21"/>
      <c r="Q34" s="22"/>
      <c r="R34" s="21">
        <v>0.10327197547341722</v>
      </c>
      <c r="S34" s="21">
        <v>3.7787235944018456E-2</v>
      </c>
      <c r="T34" s="22">
        <v>1.65</v>
      </c>
      <c r="U34" s="21"/>
      <c r="V34" s="22"/>
    </row>
    <row r="35" spans="1:22" x14ac:dyDescent="0.25">
      <c r="A35" s="1" t="s">
        <v>31</v>
      </c>
      <c r="B35" s="1" t="s">
        <v>3</v>
      </c>
      <c r="C35" s="21">
        <v>0.1294682933165919</v>
      </c>
      <c r="D35" s="21">
        <v>5.7626476498462781E-2</v>
      </c>
      <c r="E35" s="21">
        <v>1.4350000000000001</v>
      </c>
      <c r="F35" s="22">
        <v>1.9808236177265803E-2</v>
      </c>
      <c r="G35" s="21">
        <v>1.0576313053724579E-2</v>
      </c>
      <c r="H35" s="13"/>
      <c r="I35" s="14"/>
      <c r="J35" s="14"/>
      <c r="K35" s="14"/>
      <c r="L35" s="15"/>
      <c r="M35" s="13"/>
      <c r="N35" s="14"/>
      <c r="O35" s="14"/>
      <c r="P35" s="14"/>
      <c r="Q35" s="14"/>
      <c r="R35" s="17"/>
      <c r="S35" s="18"/>
      <c r="T35" s="18"/>
      <c r="U35" s="18"/>
      <c r="V35" s="10"/>
    </row>
    <row r="36" spans="1:22" x14ac:dyDescent="0.25">
      <c r="A36" s="3"/>
      <c r="B36" s="3" t="s">
        <v>2</v>
      </c>
      <c r="C36" s="21">
        <v>0.1297482819061859</v>
      </c>
      <c r="D36" s="21">
        <v>5.7603590578244823E-2</v>
      </c>
      <c r="E36" s="21">
        <v>1.5649999999999999</v>
      </c>
      <c r="F36" s="22"/>
      <c r="G36" s="21"/>
      <c r="H36" s="16"/>
      <c r="I36" s="11"/>
      <c r="J36" s="11"/>
      <c r="K36" s="11"/>
      <c r="L36" s="12"/>
      <c r="M36" s="16"/>
      <c r="N36" s="11"/>
      <c r="O36" s="11"/>
      <c r="P36" s="11"/>
      <c r="Q36" s="11"/>
      <c r="R36" s="17"/>
      <c r="S36" s="18"/>
      <c r="T36" s="18"/>
      <c r="U36" s="18"/>
      <c r="V36" s="10"/>
    </row>
    <row r="37" spans="1:22" x14ac:dyDescent="0.25">
      <c r="A37" s="1" t="s">
        <v>32</v>
      </c>
      <c r="B37" s="1" t="s">
        <v>3</v>
      </c>
      <c r="C37" s="22">
        <v>0.19371083765064787</v>
      </c>
      <c r="D37" s="22">
        <v>9.7220269141771773E-2</v>
      </c>
      <c r="E37" s="22">
        <v>1.47</v>
      </c>
      <c r="F37" s="21">
        <v>0.47156927677675275</v>
      </c>
      <c r="G37" s="22">
        <v>0.62903563940321439</v>
      </c>
      <c r="H37" s="17"/>
      <c r="I37" s="18"/>
      <c r="J37" s="18"/>
      <c r="K37" s="18"/>
      <c r="L37" s="10"/>
      <c r="M37" s="17"/>
      <c r="N37" s="18"/>
      <c r="O37" s="18"/>
      <c r="P37" s="18"/>
      <c r="Q37" s="18"/>
      <c r="R37" s="17"/>
      <c r="S37" s="18"/>
      <c r="T37" s="18"/>
      <c r="U37" s="18"/>
      <c r="V37" s="10"/>
    </row>
    <row r="38" spans="1:22" x14ac:dyDescent="0.25">
      <c r="A38" s="3"/>
      <c r="B38" s="3" t="s">
        <v>2</v>
      </c>
      <c r="C38" s="22">
        <v>0.19356960826061612</v>
      </c>
      <c r="D38" s="22">
        <v>9.7183030260385009E-2</v>
      </c>
      <c r="E38" s="22">
        <v>1.53</v>
      </c>
      <c r="F38" s="21"/>
      <c r="G38" s="22"/>
      <c r="H38" s="16"/>
      <c r="I38" s="11"/>
      <c r="J38" s="11"/>
      <c r="K38" s="11"/>
      <c r="L38" s="12"/>
      <c r="M38" s="16"/>
      <c r="N38" s="11"/>
      <c r="O38" s="11"/>
      <c r="P38" s="11"/>
      <c r="Q38" s="11"/>
      <c r="R38" s="17"/>
      <c r="S38" s="18"/>
      <c r="T38" s="18"/>
      <c r="U38" s="18"/>
      <c r="V38" s="10"/>
    </row>
    <row r="39" spans="1:22" x14ac:dyDescent="0.25">
      <c r="A39" s="1" t="s">
        <v>34</v>
      </c>
      <c r="B39" s="1" t="s">
        <v>3</v>
      </c>
      <c r="C39" s="21">
        <v>0.15953916139057925</v>
      </c>
      <c r="D39" s="21">
        <v>7.6084159162971482E-2</v>
      </c>
      <c r="E39" s="21">
        <v>1.4650000000000001</v>
      </c>
      <c r="F39" s="22">
        <v>0.61016002101018063</v>
      </c>
      <c r="G39" s="21">
        <v>0.45871829789704216</v>
      </c>
      <c r="H39" s="17"/>
      <c r="I39" s="18"/>
      <c r="J39" s="18"/>
      <c r="K39" s="18"/>
      <c r="L39" s="10"/>
      <c r="M39" s="17"/>
      <c r="N39" s="18"/>
      <c r="O39" s="18"/>
      <c r="P39" s="18"/>
      <c r="Q39" s="18"/>
      <c r="R39" s="17"/>
      <c r="S39" s="18"/>
      <c r="T39" s="18"/>
      <c r="U39" s="18"/>
      <c r="V39" s="10"/>
    </row>
    <row r="40" spans="1:22" x14ac:dyDescent="0.25">
      <c r="A40" s="3"/>
      <c r="B40" s="3" t="s">
        <v>2</v>
      </c>
      <c r="C40" s="21">
        <v>0.15963588321776212</v>
      </c>
      <c r="D40" s="21">
        <v>7.636360432063645E-2</v>
      </c>
      <c r="E40" s="21">
        <v>1.5349999999999999</v>
      </c>
      <c r="F40" s="22"/>
      <c r="G40" s="21"/>
      <c r="H40" s="16"/>
      <c r="I40" s="11"/>
      <c r="J40" s="11"/>
      <c r="K40" s="11"/>
      <c r="L40" s="12"/>
      <c r="M40" s="16"/>
      <c r="N40" s="11"/>
      <c r="O40" s="11"/>
      <c r="P40" s="11"/>
      <c r="Q40" s="11"/>
      <c r="R40" s="17"/>
      <c r="S40" s="18"/>
      <c r="T40" s="18"/>
      <c r="U40" s="18"/>
      <c r="V40" s="10"/>
    </row>
    <row r="41" spans="1:22" x14ac:dyDescent="0.25">
      <c r="A41" s="1" t="s">
        <v>33</v>
      </c>
      <c r="B41" s="1" t="s">
        <v>3</v>
      </c>
      <c r="C41" s="22">
        <v>0.12972937177038216</v>
      </c>
      <c r="D41" s="22">
        <v>5.764730005407491E-2</v>
      </c>
      <c r="E41" s="22">
        <v>1.4350000000000001</v>
      </c>
      <c r="F41" s="21">
        <v>9.5825532615320341E-2</v>
      </c>
      <c r="G41" s="22">
        <v>0.1238896752085648</v>
      </c>
      <c r="H41" s="17"/>
      <c r="I41" s="18"/>
      <c r="J41" s="18"/>
      <c r="K41" s="18"/>
      <c r="L41" s="10"/>
      <c r="M41" s="17"/>
      <c r="N41" s="18"/>
      <c r="O41" s="18"/>
      <c r="P41" s="18"/>
      <c r="Q41" s="18"/>
      <c r="R41" s="17"/>
      <c r="S41" s="18"/>
      <c r="T41" s="18"/>
      <c r="U41" s="18"/>
      <c r="V41" s="10"/>
    </row>
    <row r="42" spans="1:22" x14ac:dyDescent="0.25">
      <c r="A42" s="3"/>
      <c r="B42" s="3" t="s">
        <v>2</v>
      </c>
      <c r="C42" s="22">
        <v>0.12989353434829837</v>
      </c>
      <c r="D42" s="22">
        <v>5.7694298713953887E-2</v>
      </c>
      <c r="E42" s="22">
        <v>1.5649999999999999</v>
      </c>
      <c r="F42" s="21"/>
      <c r="G42" s="22"/>
      <c r="H42" s="16"/>
      <c r="I42" s="11"/>
      <c r="J42" s="11"/>
      <c r="K42" s="11"/>
      <c r="L42" s="12"/>
      <c r="M42" s="16"/>
      <c r="N42" s="11"/>
      <c r="O42" s="11"/>
      <c r="P42" s="11"/>
      <c r="Q42" s="11"/>
      <c r="R42" s="17"/>
      <c r="S42" s="18"/>
      <c r="T42" s="18"/>
      <c r="U42" s="18"/>
      <c r="V42" s="10"/>
    </row>
    <row r="43" spans="1:22" x14ac:dyDescent="0.25">
      <c r="A43" s="1" t="s">
        <v>35</v>
      </c>
      <c r="B43" s="1" t="s">
        <v>3</v>
      </c>
      <c r="C43" s="21">
        <v>8.4474861073745605E-2</v>
      </c>
      <c r="D43" s="21">
        <v>2.6450454249997861E-2</v>
      </c>
      <c r="E43" s="21">
        <v>1.4650000000000001</v>
      </c>
      <c r="F43" s="22">
        <v>0.71740112379353704</v>
      </c>
      <c r="G43" s="21">
        <v>0.97394246380772587</v>
      </c>
      <c r="H43" s="17"/>
      <c r="I43" s="18"/>
      <c r="J43" s="18"/>
      <c r="K43" s="18"/>
      <c r="L43" s="10"/>
      <c r="M43" s="17"/>
      <c r="N43" s="18"/>
      <c r="O43" s="18"/>
      <c r="P43" s="18"/>
      <c r="Q43" s="18"/>
      <c r="R43" s="17"/>
      <c r="S43" s="18"/>
      <c r="T43" s="18"/>
      <c r="U43" s="18"/>
      <c r="V43" s="10"/>
    </row>
    <row r="44" spans="1:22" x14ac:dyDescent="0.25">
      <c r="A44" s="3"/>
      <c r="B44" s="3" t="s">
        <v>2</v>
      </c>
      <c r="C44" s="21">
        <v>8.424064046692975E-2</v>
      </c>
      <c r="D44" s="21">
        <v>2.5238950219848507E-2</v>
      </c>
      <c r="E44" s="21">
        <v>1.5349999999999999</v>
      </c>
      <c r="F44" s="22"/>
      <c r="G44" s="21"/>
      <c r="H44" s="16"/>
      <c r="I44" s="11"/>
      <c r="J44" s="11"/>
      <c r="K44" s="11"/>
      <c r="L44" s="12"/>
      <c r="M44" s="16"/>
      <c r="N44" s="11"/>
      <c r="O44" s="11"/>
      <c r="P44" s="11"/>
      <c r="Q44" s="11"/>
      <c r="R44" s="17"/>
      <c r="S44" s="18"/>
      <c r="T44" s="18"/>
      <c r="U44" s="18"/>
      <c r="V44" s="10"/>
    </row>
    <row r="45" spans="1:22" x14ac:dyDescent="0.25">
      <c r="A45" s="1" t="s">
        <v>36</v>
      </c>
      <c r="B45" s="1" t="s">
        <v>3</v>
      </c>
      <c r="C45" s="22">
        <v>0.18118683570764624</v>
      </c>
      <c r="D45" s="22">
        <v>8.8652547418541783E-2</v>
      </c>
      <c r="E45" s="22">
        <v>1.38</v>
      </c>
      <c r="F45" s="21">
        <v>0.5428585899275411</v>
      </c>
      <c r="G45" s="22">
        <v>4.5939629829889514E-2</v>
      </c>
      <c r="H45" s="17"/>
      <c r="I45" s="18"/>
      <c r="J45" s="18"/>
      <c r="K45" s="18"/>
      <c r="L45" s="10"/>
      <c r="M45" s="17"/>
      <c r="N45" s="18"/>
      <c r="O45" s="18"/>
      <c r="P45" s="18"/>
      <c r="Q45" s="18"/>
      <c r="R45" s="17"/>
      <c r="S45" s="18"/>
      <c r="T45" s="18"/>
      <c r="U45" s="18"/>
      <c r="V45" s="10"/>
    </row>
    <row r="46" spans="1:22" x14ac:dyDescent="0.25">
      <c r="A46" s="3"/>
      <c r="B46" s="3" t="s">
        <v>2</v>
      </c>
      <c r="C46" s="22">
        <v>0.18128819885265532</v>
      </c>
      <c r="D46" s="22">
        <v>8.8723135054316296E-2</v>
      </c>
      <c r="E46" s="22">
        <v>1.62</v>
      </c>
      <c r="F46" s="21"/>
      <c r="G46" s="22"/>
      <c r="H46" s="16"/>
      <c r="I46" s="11"/>
      <c r="J46" s="11"/>
      <c r="K46" s="11"/>
      <c r="L46" s="12"/>
      <c r="M46" s="16"/>
      <c r="N46" s="11"/>
      <c r="O46" s="11"/>
      <c r="P46" s="11"/>
      <c r="Q46" s="11"/>
      <c r="R46" s="16"/>
      <c r="S46" s="11"/>
      <c r="T46" s="11"/>
      <c r="U46" s="11"/>
      <c r="V46" s="12"/>
    </row>
    <row r="51" spans="1:22" x14ac:dyDescent="0.25">
      <c r="A51">
        <v>1</v>
      </c>
      <c r="B51">
        <v>2</v>
      </c>
      <c r="C51">
        <v>3</v>
      </c>
      <c r="D51">
        <v>4</v>
      </c>
      <c r="E51">
        <v>5</v>
      </c>
      <c r="F51">
        <v>6</v>
      </c>
      <c r="G51">
        <v>7</v>
      </c>
      <c r="H51">
        <v>8</v>
      </c>
      <c r="I51">
        <v>9</v>
      </c>
      <c r="J51">
        <v>10</v>
      </c>
      <c r="K51">
        <v>11</v>
      </c>
      <c r="L51">
        <v>12</v>
      </c>
      <c r="M51">
        <v>13</v>
      </c>
      <c r="N51">
        <v>14</v>
      </c>
      <c r="O51">
        <v>15</v>
      </c>
      <c r="P51">
        <v>16</v>
      </c>
      <c r="Q51">
        <v>17</v>
      </c>
      <c r="R51">
        <v>18</v>
      </c>
      <c r="S51">
        <v>19</v>
      </c>
      <c r="T51">
        <v>20</v>
      </c>
      <c r="U51">
        <v>21</v>
      </c>
      <c r="V5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Paper_MOD</vt:lpstr>
      <vt:lpstr>HV</vt:lpstr>
      <vt:lpstr>GD</vt:lpstr>
      <vt:lpstr>BS</vt:lpstr>
      <vt:lpstr>AVS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Praca</dc:creator>
  <cp:lastModifiedBy>Michał Tomczyk</cp:lastModifiedBy>
  <dcterms:modified xsi:type="dcterms:W3CDTF">2025-11-04T10:29:03Z</dcterms:modified>
</cp:coreProperties>
</file>